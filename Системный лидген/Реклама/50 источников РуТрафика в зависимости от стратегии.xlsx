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PartName="/xl/workbook.xml" ContentType="application/vnd.openxmlformats-officedocument.spreadsheetml.sheet.main+xml"/>
  <Override PartName="/xl/metadata" ContentType="application/binary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 xmlns:unk1="http://customooxmlschemas.google.com/">
  <s:workbookPr/>
  <s:sheets>
    <s:sheet name="Лист1" sheetId="1" state="visible" r:id="rId1"/>
    <s:sheet name="Лист2" sheetId="2" state="visible" r:id="rId2"/>
    <s:sheet name="Лист4" sheetId="3" state="visible" r:id="rId3"/>
    <s:sheet name="Лист3" sheetId="4" state="visible" r:id="rId4"/>
    <s:sheet name="Лист5" sheetId="5" state="visible" r:id="rId5"/>
    <s:sheet name="Лист6" sheetId="6" state="visible" r:id="rId6"/>
  </s:sheets>
  <s:definedNames/>
  <s:calcPr/>
  <s:extLst>
    <s:ext uri="GoogleSheetsCustomDataVersion2">
      <unk1:sheetsCustomData r:id="rId10" roundtripDataChecksum="CersGUB768Wm5VDlUu/Qc66Ozaz1dYt9icx5k//w1NY="/>
    </s:ext>
  </s:extLst>
</s:workbook>
</file>

<file path=xl/sharedStrings.xml><?xml version="1.0" encoding="utf-8"?>
<s:sst xmlns:s="http://schemas.openxmlformats.org/spreadsheetml/2006/main" count="174" uniqueCount="147">
  <s:si>
    <s:r>
      <s:rPr>
        <s:rFont val="Montserrat, Arial"/>
        <s:b val="1"/>
        <s:sz val="18"/>
      </s:rPr>
      <s:t xml:space="preserve">Опубликовано в </s:t>
    </s:r>
    <s:r>
      <s:rPr>
        <s:rFont val="Montserrat, Arial"/>
        <s:b val="1"/>
        <s:color rgb="FF1155CC"/>
        <s:sz val="18"/>
        <s:u val="none"/>
      </s:rPr>
      <s:t>Телеграме Петроченкова</s:t>
    </s:r>
  </s:si>
  <s:si>
    <s:t>Собрано в Конверт Монстер</s:t>
  </s:si>
  <s:si>
    <s:t>Стратегия</s:t>
  </s:si>
  <s:si>
    <s:t>Тип источника</s:t>
  </s:si>
  <s:si>
    <s:t>Площадка</s:t>
  </s:si>
  <s:si>
    <s:t>Есть?</s:t>
  </s:si>
  <s:si>
    <s:t>Узнавание бренда</s:t>
  </s:si>
  <s:si>
    <s:t>SEO-продвижение</s:t>
  </s:si>
  <s:si>
    <s:t xml:space="preserve">Яндекс </s:t>
  </s:si>
  <s:si>
    <s:t>Google</s:t>
  </s:si>
  <s:si>
    <s:t>Баннерная реклама на профильных ресурсах</s:t>
  </s:si>
  <s:si>
    <s:t>Видеоролики</s:t>
  </s:si>
  <s:si>
    <s:t>Vk.com</s:t>
  </s:si>
  <s:si>
    <s:t>Яндекс.Дзен</s:t>
  </s:si>
  <s:si>
    <s:t>Посевы у блоггеров</s:t>
  </s:si>
  <s:si>
    <s:t>Telegram</s:t>
  </s:si>
  <s:si>
    <s:t>Видеосети</s:t>
  </s:si>
  <s:si>
    <s:t>Rutube</s:t>
  </s:si>
  <s:si>
    <s:t>Ok.ru</s:t>
  </s:si>
  <s:si>
    <s:t>Mail.ru</s:t>
  </s:si>
  <s:si>
    <s:t>Медийная реклама</s:t>
  </s:si>
  <s:si>
    <s:t>Газпром-медиа</s:t>
  </s:si>
  <s:si>
    <s:t>Wi-fi метро</s:t>
  </s:si>
  <s:si>
    <s:t>Личный блог</s:t>
  </s:si>
  <s:si>
    <s:t>Телеграм</s:t>
  </s:si>
  <s:si>
    <s:t>Лидогенерация</s:t>
  </s:si>
  <s:si>
    <s:t>Контекстная реклама</s:t>
  </s:si>
  <s:si>
    <s:t>Яндекс.Директ</s:t>
  </s:si>
  <s:si>
    <s:t>РСЯ</s:t>
  </s:si>
  <s:si>
    <s:t>MyTarget</s:t>
  </s:si>
  <s:si>
    <s:t xml:space="preserve">Vk </s:t>
  </s:si>
  <s:si>
    <s:t>Яндекс.Аудитории</s:t>
  </s:si>
  <s:si>
    <s:t>Таргетированная реклама</s:t>
  </s:si>
  <s:si>
    <s:t>ВК-таргет</s:t>
  </s:si>
  <s:si>
    <s:t>Посевы в сообществах</s:t>
  </s:si>
  <s:si>
    <s:t>ok.ru</s:t>
  </s:si>
  <s:si>
    <s:t>Профильные соц.сети</s:t>
  </s:si>
  <s:si>
    <s:t>TenChart</s:t>
  </s:si>
  <s:si>
    <s:t>Яндекс.Услуги</s:t>
  </s:si>
  <s:si>
    <s:t>Profi ru</s:t>
  </s:si>
  <s:si>
    <s:t>youdo.ru</s:t>
  </s:si>
  <s:si>
    <s:t>CPA-сети</s:t>
  </s:si>
  <s:si>
    <s:t>Карты</s:t>
  </s:si>
  <s:si>
    <s:t>Яндекс.Карты</s:t>
  </s:si>
  <s:si>
    <s:t>2Gis</s:t>
  </s:si>
  <s:si>
    <s:t>Google карты</s:t>
  </s:si>
  <s:si>
    <s:t>Продажи</s:t>
  </s:si>
  <s:si>
    <s:t>Ретарегинг Яндекс.Аудитории</s:t>
  </s:si>
  <s:si>
    <s:t>Динамический ретаргетинг MyTarget</s:t>
  </s:si>
  <s:si>
    <s:t>Динамический ретаргетинг VK</s:t>
  </s:si>
  <s:si>
    <s:t>Маркетплейсы</s:t>
  </s:si>
  <s:si>
    <s:t>Яндекс.Маркети</s:t>
  </s:si>
  <s:si>
    <s:t>Wildberries.ru</s:t>
  </s:si>
  <s:si>
    <s:t>Ozon.ru</s:t>
  </s:si>
  <s:si>
    <s:t>Programmatic платфомы</s:t>
  </s:si>
  <s:si>
    <s:t>Criteo</s:t>
  </s:si>
  <s:si>
    <s:t>BYYD</s:t>
  </s:si>
  <s:si>
    <s:t>Segmento</s:t>
  </s:si>
  <s:si>
    <s:t>Hybrid Ai</s:t>
  </s:si>
  <s:si>
    <s:t>GetIntent</s:t>
  </s:si>
  <s:si>
    <s:t>Yabbi</s:t>
  </s:si>
  <s:si>
    <s:t>Between Exchange</s:t>
  </s:si>
  <s:si>
    <s:t>Bidease</s:t>
  </s:si>
  <s:si>
    <s:t>Rambler DSP</s:t>
  </s:si>
  <s:si>
    <s:t>Soloway</s:t>
  </s:si>
  <s:si>
    <s:t>Advark</s:t>
  </s:si>
  <s:si>
    <s:t>AdSniper</s:t>
  </s:si>
  <s:si>
    <s:t>AiTarget</s:t>
  </s:si>
  <s:si>
    <s:t>Лояльность</s:t>
  </s:si>
  <s:si>
    <s:t>Закрытые чаты Telegram</s:t>
  </s:si>
  <s:si>
    <s:t>E-mail-маркетинг</s:t>
  </s:si>
  <s:si>
    <s:t>Чат-бот маркетинг</s:t>
  </s:si>
  <s:si>
    <s:t>СМС-таргетинг Мегафон</s:t>
  </s:si>
  <s:si>
    <s:t>Личный аккаунтинг клиентов</s:t>
  </s:si>
  <s:si>
    <s:t>Мероприятия для клиентов компании (онлайн / офлайн)</s:t>
  </s:si>
  <s:si>
    <s:t>Источники трафика</s:t>
  </s:si>
  <s:si>
    <s:t>Контекст</s:t>
  </s:si>
  <s:si>
    <s:t>FB</s:t>
  </s:si>
  <s:si>
    <s:t>Блогеры</s:t>
  </s:si>
  <s:si>
    <s:t>YouTube</s:t>
  </s:si>
  <s:si>
    <s:t>Instagram</s:t>
  </s:si>
  <s:si>
    <s:t>TikTok</s:t>
  </s:si>
  <s:si>
    <s:t>Форумы</s:t>
  </s:si>
  <s:si>
    <s:t>Quora</s:t>
  </s:si>
  <s:si>
    <s:t>Yelp</s:t>
  </s:si>
  <s:si>
    <s:t>PPC</s:t>
  </s:si>
  <s:si>
    <s:t>clickunder</s:t>
  </s:si>
  <s:si>
    <s:t>sed трафик</s:t>
  </s:si>
  <s:si>
    <s:t>programatic</s:t>
  </s:si>
  <s:si>
    <s:t>баннеры</s:t>
  </s:si>
  <s:si>
    <s:t>порнтюбы</s:t>
  </s:si>
  <s:si>
    <s:t>маркетплейсы</s:t>
  </s:si>
  <s:si>
    <s:t>amazon</s:t>
  </s:si>
  <s:si>
    <s:t>ebay</s:t>
  </s:si>
  <s:si>
    <s:t>facebook marketplace</s:t>
  </s:si>
  <s:si>
    <s:t>Afiifliate programs</s:t>
  </s:si>
  <s:si>
    <s:t>0-3</s:t>
  </s:si>
  <s:si>
    <s:t>8-15</s:t>
  </s:si>
  <s:si>
    <s:t>Ретаргетинг 75% просмотр</s:t>
  </s:si>
  <s:si>
    <s:t>Объявление 1 УТП</s:t>
  </s:si>
  <s:si>
    <s:t>Объявление 2 Бонус</s:t>
  </s:si>
  <s:si>
    <s:t>Объявление 3 с супер оффером скидка + бонус</s:t>
  </s:si>
  <s:si>
    <s:t>Upsell</s:t>
  </s:si>
  <s:si>
    <s:t>Объявление 1</s:t>
  </s:si>
  <s:si>
    <s:t>Объявление 2</s:t>
  </s:si>
  <s:si>
    <s:t>Объявление 3 с супер оффером</s:t>
  </s:si>
  <s:si>
    <s:t>категория</s:t>
  </s:si>
  <s:si>
    <s:t>продукт</s:t>
  </s:si>
  <s:si>
    <s:t>корзина</s:t>
  </s:si>
  <s:si>
    <s:t>чекаут</s:t>
  </s:si>
  <s:si>
    <s:t>Главная</s:t>
  </s:si>
  <s:si>
    <s:t>75% просмотр</s:t>
  </s:si>
  <s:si>
    <s:t>Спасибо</s:t>
  </s:si>
  <s:si>
    <s:t>Дозвон</s:t>
  </s:si>
  <s:si>
    <s:t>Квал</s:t>
  </s:si>
  <s:si>
    <s:t>Оплата</s:t>
  </s:si>
  <s:si>
    <s:t>средний цикл сделки</s:t>
  </s:si>
  <s:si>
    <s:t>1 минута</s:t>
  </s:si>
  <s:si>
    <s:t>5 минут</s:t>
  </s:si>
  <s:si>
    <s:t>Бюджет</s:t>
  </s:si>
  <s:si>
    <s:t>Звонки</s:t>
  </s:si>
  <s:si>
    <s:t>Цена звонка</s:t>
  </s:si>
  <s:si>
    <s:t>Цена продажи</s:t>
  </s:si>
  <s:si>
    <s:t>итог</s:t>
  </s:si>
  <s:si>
    <s:t>Всем LTV</s:t>
  </s:si>
  <s:si>
    <s:t>Всем Покупателея - LTV</s:t>
  </s:si>
  <s:si>
    <s:t>Всем корзинам - LTV и покатели</s:t>
  </s:si>
  <s:si>
    <s:t>Look alike LTV</s:t>
  </s:si>
  <s:si>
    <s:t>Look Покупатели - LTV</s:t>
  </s:si>
  <s:si>
    <s:t>Ленд</s:t>
  </s:si>
  <s:si>
    <s:t>Заявка</s:t>
  </s:si>
  <s:si>
    <s:t>Ретаргет</s:t>
  </s:si>
  <s:si>
    <s:t>Ленд 2</s:t>
  </s:si>
  <s:si>
    <s:t>Текст 1</s:t>
  </s:si>
  <s:si>
    <s:t>Текст 4</s:t>
  </s:si>
  <s:si>
    <s:t>Текст 2</s:t>
  </s:si>
  <s:si>
    <s:t>Текст 3</s:t>
  </s:si>
  <s:si>
    <s:t>Лендинг</s:t>
  </s:si>
  <s:si>
    <s:t>Квиз</s:t>
  </s:si>
  <s:si>
    <s:t>CTR</s:t>
  </s:si>
  <s:si>
    <s:t>Клики</s:t>
  </s:si>
  <s:si>
    <s:t>Цена клика</s:t>
  </s:si>
  <s:si>
    <s:t>CR</s:t>
  </s:si>
  <s:si>
    <s:t>Лиды</s:t>
  </s:si>
  <s:si>
    <s:t>Цена</s:t>
  </s:si>
  <s:si>
    <s:t>ЦЛ</s:t>
  </s:si>
  <s:si>
    <s:t>CRxCTR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</s:si>
</s:sst>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>
  <s:numFmts count="2">
    <s:numFmt numFmtId="164" formatCode="d-m"/>
    <s:numFmt numFmtId="165" formatCode="[$р.-419]#,##0.00"/>
  </s:numFmts>
  <s:fonts count="14">
    <s:font>
      <s:name val="Arial"/>
      <s:color rgb="FF000000"/>
      <s:sz val="10"/>
      <s:scheme val="minor"/>
    </s:font>
    <s:font>
      <s:name val="Arial"/>
      <s:color theme="1"/>
    </s:font>
    <s:font>
      <s:name val="Montserrat"/>
      <s:b val="1"/>
      <s:color rgb="FF0000FF"/>
      <s:sz val="18"/>
      <s:u val="single"/>
    </s:font>
    <s:font>
      <s:name val="Montserrat"/>
      <s:b val="1"/>
      <s:color rgb="FF1155CC"/>
      <s:sz val="18"/>
      <s:u val="single"/>
    </s:font>
    <s:font>
      <s:name val="Arial"/>
      <s:b val="1"/>
      <s:color theme="1"/>
      <s:sz val="10"/>
    </s:font>
    <s:font>
      <s:name val="Arial"/>
      <s:color theme="1"/>
      <s:sz val="10"/>
    </s:font>
    <s:font>
      <s:name val="Arial"/>
      <s:color rgb="FF000000"/>
      <s:sz val="10"/>
    </s:font>
    <s:font>
      <s:name val="Arial"/>
      <s:color rgb="FF1155CC"/>
      <s:sz val="10"/>
      <s:u val="single"/>
    </s:font>
    <s:font>
      <s:color rgb="FF1155CC"/>
      <s:u val="single"/>
    </s:font>
    <s:font>
      <s:name val="Arial"/>
      <s:b val="1"/>
      <s:color rgb="FF000000"/>
      <s:sz val="10"/>
    </s:font>
    <s:font>
      <s:name val="Arial"/>
      <s:color theme="1"/>
      <s:scheme val="minor"/>
    </s:font>
    <s:font>
      <s:name val="Arial"/>
      <s:b val="1"/>
      <s:color theme="1"/>
    </s:font>
    <s:font>
      <s:name val="Arial"/>
      <s:color rgb="FF1E63AA"/>
      <s:sz val="10"/>
      <s:u val="single"/>
    </s:font>
    <s:font>
      <s:name val="Arial"/>
      <s:i val="1"/>
      <s:color theme="1"/>
    </s:font>
  </s:fonts>
  <s:fills count="13">
    <s:fill>
      <s:patternFill patternType="none"/>
    </s:fill>
    <s:fill>
      <s:patternFill patternType="lightGray"/>
    </s:fill>
    <s:fill>
      <s:patternFill patternType="solid">
        <s:fgColor rgb="FFFFFFFF"/>
        <s:bgColor rgb="FFFFFFFF"/>
      </s:patternFill>
    </s:fill>
    <s:fill>
      <s:patternFill patternType="solid">
        <s:fgColor rgb="FF6AA84F"/>
        <s:bgColor rgb="FF6AA84F"/>
      </s:patternFill>
    </s:fill>
    <s:fill>
      <s:patternFill patternType="solid">
        <s:fgColor rgb="FF38761D"/>
        <s:bgColor rgb="FF38761D"/>
      </s:patternFill>
    </s:fill>
    <s:fill>
      <s:patternFill patternType="solid">
        <s:fgColor rgb="FFF4CCCC"/>
        <s:bgColor rgb="FFF4CCCC"/>
      </s:patternFill>
    </s:fill>
    <s:fill>
      <s:patternFill patternType="solid">
        <s:fgColor rgb="FFF1C232"/>
        <s:bgColor rgb="FFF1C232"/>
      </s:patternFill>
    </s:fill>
    <s:fill>
      <s:patternFill patternType="solid">
        <s:fgColor rgb="FF3C78D8"/>
        <s:bgColor rgb="FF3C78D8"/>
      </s:patternFill>
    </s:fill>
    <s:fill>
      <s:patternFill patternType="solid">
        <s:fgColor rgb="FFCC0000"/>
        <s:bgColor rgb="FFCC0000"/>
      </s:patternFill>
    </s:fill>
    <s:fill>
      <s:patternFill patternType="solid">
        <s:fgColor rgb="FF0C343D"/>
        <s:bgColor rgb="FF0C343D"/>
      </s:patternFill>
    </s:fill>
    <s:fill>
      <s:patternFill patternType="solid">
        <s:fgColor rgb="FF134F5C"/>
        <s:bgColor rgb="FF134F5C"/>
      </s:patternFill>
    </s:fill>
    <s:fill>
      <s:patternFill patternType="solid">
        <s:fgColor rgb="FFA64D79"/>
        <s:bgColor rgb="FFA64D79"/>
      </s:patternFill>
    </s:fill>
    <s:fill>
      <s:patternFill patternType="solid">
        <s:fgColor rgb="FF93C47D"/>
        <s:bgColor rgb="FF93C47D"/>
      </s:patternFill>
    </s:fill>
  </s:fills>
  <s:borders count="13">
    <s:border/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</s:border>
    <s:border>
      <s:left style="thick">
        <s:color rgb="FF000000"/>
      </s:left>
      <s:right style="thin">
        <s:color rgb="FF000000"/>
      </s:right>
      <s:top style="thick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ck">
        <s:color rgb="FF000000"/>
      </s:top>
      <s:bottom style="thin">
        <s:color rgb="FF000000"/>
      </s:bottom>
    </s:border>
    <s:border>
      <s:top style="thick">
        <s:color rgb="FF000000"/>
      </s:top>
    </s:border>
    <s:border>
      <s:right style="thick">
        <s:color rgb="FF000000"/>
      </s:right>
      <s:top style="thick">
        <s:color rgb="FF000000"/>
      </s:top>
    </s:border>
    <s:border>
      <s:left style="thick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right style="thick">
        <s:color rgb="FF000000"/>
      </s:right>
    </s:border>
    <s:border>
      <s:left style="thick">
        <s:color rgb="FF000000"/>
      </s:left>
    </s:border>
    <s:border>
      <s:left style="thick">
        <s:color rgb="FF000000"/>
      </s:left>
      <s:bottom style="thick">
        <s:color rgb="FF000000"/>
      </s:bottom>
    </s:border>
    <s:border>
      <s:bottom style="thick">
        <s:color rgb="FF000000"/>
      </s:bottom>
    </s:border>
    <s:border>
      <s:right style="thick">
        <s:color rgb="FF000000"/>
      </s:right>
      <s:bottom style="thick">
        <s:color rgb="FF000000"/>
      </s:bottom>
    </s:border>
  </s:borders>
  <s:cellStyleXfs count="1">
    <s:xf numFmtId="0" fontId="0" fillId="0" borderId="0" applyFont="1" applyAlignment="1"/>
  </s:cellStyleXfs>
  <s:cellXfs count="46">
    <s:xf numFmtId="0" fontId="0" fillId="0" borderId="0" xfId="0" applyFont="1" applyAlignment="1">
      <s:alignment vertical="bottom" wrapText="0" shrinkToFit="0" readingOrder="0" mc:Ignorable="vyd"/>
    </s:xf>
    <s:xf numFmtId="0" fontId="1" fillId="2" borderId="1" xfId="0" applyFont="1" applyFill="1" applyBorder="1" applyAlignment="1">
      <s:alignment vertical="bottom" mc:Ignorable="vyd"/>
    </s:xf>
    <s:xf numFmtId="0" fontId="2" fillId="2" borderId="1" xfId="0" applyFont="1" applyBorder="1" applyAlignment="1">
      <s:alignment vertical="bottom" wrapText="1" shrinkToFit="0" mc:Ignorable="vyd"/>
    </s:xf>
    <s:xf numFmtId="0" fontId="3" fillId="2" borderId="1" xfId="0" applyFont="1" applyBorder="1" applyAlignment="1">
      <s:alignment vertical="bottom" mc:Ignorable="vyd"/>
    </s:xf>
    <s:xf numFmtId="0" fontId="4" fillId="0" borderId="0" xfId="0" applyFont="1"/>
    <s:xf numFmtId="0" fontId="5" fillId="0" borderId="0" xfId="0" applyFont="1"/>
    <s:xf numFmtId="0" fontId="6" fillId="0" borderId="0" xfId="0" applyFont="1"/>
    <s:xf numFmtId="0" fontId="7" fillId="0" borderId="0" xfId="0" applyFont="1"/>
    <s:xf numFmtId="0" fontId="8" fillId="0" borderId="0" xfId="0" applyFont="1"/>
    <s:xf numFmtId="0" fontId="1" fillId="0" borderId="0" xfId="0" applyFont="1"/>
    <s:xf numFmtId="0" fontId="9" fillId="0" borderId="0" xfId="0" applyFont="1"/>
    <s:xf numFmtId="0" fontId="10" fillId="0" borderId="0" xfId="0" applyFont="1" applyAlignment="1">
      <s:alignment readingOrder="0" mc:Ignorable="vyd"/>
    </s:xf>
    <s:xf numFmtId="0" fontId="11" fillId="0" borderId="0" xfId="0" applyFont="1"/>
    <s:xf numFmtId="0" fontId="12" fillId="2" borderId="0" xfId="0" applyFont="1"/>
    <s:xf numFmtId="164" fontId="1" fillId="0" borderId="0" xfId="0" applyNumberFormat="1" applyFont="1"/>
    <s:xf numFmtId="0" fontId="1" fillId="3" borderId="0" xfId="0" applyFont="1" applyFill="1" applyAlignment="1">
      <s:alignment vertical="bottom" mc:Ignorable="vyd"/>
    </s:xf>
    <s:xf numFmtId="0" fontId="1" fillId="4" borderId="0" xfId="0" applyFont="1" applyFill="1"/>
    <s:xf numFmtId="0" fontId="1" fillId="5" borderId="0" xfId="0" applyFont="1" applyFill="1"/>
    <s:xf numFmtId="0" fontId="1" fillId="3" borderId="0" xfId="0" applyFont="1"/>
    <s:xf numFmtId="0" fontId="1" fillId="6" borderId="0" xfId="0" applyFont="1" applyFill="1"/>
    <s:xf numFmtId="0" fontId="1" fillId="7" borderId="0" xfId="0" applyFont="1" applyFill="1"/>
    <s:xf numFmtId="0" fontId="1" fillId="8" borderId="0" xfId="0" applyFont="1" applyFill="1"/>
    <s:xf numFmtId="0" fontId="1" fillId="9" borderId="0" xfId="0" applyFont="1" applyFill="1"/>
    <s:xf numFmtId="165" fontId="1" fillId="0" borderId="0" xfId="0" applyNumberFormat="1" applyFont="1"/>
    <s:xf numFmtId="165" fontId="11" fillId="0" borderId="0" xfId="0" applyNumberFormat="1" applyFont="1"/>
    <s:xf numFmtId="3" fontId="1" fillId="0" borderId="0" xfId="0" applyNumberFormat="1" applyFont="1"/>
    <s:xf numFmtId="10" fontId="1" fillId="0" borderId="0" xfId="0" applyNumberFormat="1" applyFont="1"/>
    <s:xf numFmtId="0" fontId="1" fillId="3" borderId="1" xfId="0" applyFont="1" applyBorder="1"/>
    <s:xf numFmtId="0" fontId="1" fillId="3" borderId="2" xfId="0" applyFont="1" applyBorder="1"/>
    <s:xf numFmtId="0" fontId="1" fillId="10" borderId="3" xfId="0" applyFont="1" applyFill="1" applyBorder="1"/>
    <s:xf numFmtId="0" fontId="1" fillId="10" borderId="4" xfId="0" applyFont="1" applyBorder="1"/>
    <s:xf numFmtId="0" fontId="1" fillId="10" borderId="5" xfId="0" applyFont="1" applyBorder="1"/>
    <s:xf numFmtId="0" fontId="1" fillId="10" borderId="6" xfId="0" applyFont="1" applyBorder="1"/>
    <s:xf numFmtId="0" fontId="1" fillId="10" borderId="7" xfId="0" applyFont="1" applyBorder="1"/>
    <s:xf numFmtId="0" fontId="1" fillId="11" borderId="0" xfId="0" applyFont="1" applyFill="1"/>
    <s:xf numFmtId="0" fontId="1" fillId="10" borderId="0" xfId="0" applyFont="1"/>
    <s:xf numFmtId="0" fontId="1" fillId="10" borderId="8" xfId="0" applyFont="1" applyBorder="1"/>
    <s:xf numFmtId="0" fontId="1" fillId="10" borderId="9" xfId="0" applyFont="1" applyBorder="1"/>
    <s:xf numFmtId="0" fontId="1" fillId="11" borderId="8" xfId="0" applyFont="1" applyBorder="1"/>
    <s:xf numFmtId="0" fontId="1" fillId="10" borderId="10" xfId="0" applyFont="1" applyBorder="1"/>
    <s:xf numFmtId="0" fontId="1" fillId="10" borderId="11" xfId="0" applyFont="1" applyBorder="1"/>
    <s:xf numFmtId="0" fontId="1" fillId="11" borderId="11" xfId="0" applyFont="1" applyBorder="1"/>
    <s:xf numFmtId="0" fontId="1" fillId="11" borderId="12" xfId="0" applyFont="1" applyBorder="1"/>
    <s:xf numFmtId="0" fontId="1" fillId="12" borderId="0" xfId="0" applyFont="1" applyFill="1"/>
    <s:xf numFmtId="0" fontId="13" fillId="0" borderId="0" xfId="0" applyFont="1"/>
    <s:xf numFmtId="9" fontId="1" fillId="0" borderId="0" xfId="0" applyNumberFormat="1" applyFont="1"/>
  </s:cellXfs>
  <s:cellStyles count="1">
    <s:cellStyle name="Normal" xfId="0" builtinId="0"/>
  </s:cellStyles>
  <s:dxfs count="2">
    <s:dxf>
      <s:font/>
      <s:fill>
        <s:patternFill patternType="solid">
          <s:fgColor rgb="FFB7E1CD"/>
          <s:bgColor rgb="FFB7E1CD"/>
        </s:patternFill>
      </s:fill>
      <s:border/>
    </s:dxf>
    <s:dxf>
      <s:font/>
      <s:fill>
        <s:patternFill patternType="solid">
          <s:fgColor rgb="FFEA9999"/>
          <s:bgColor rgb="FFEA9999"/>
        </s:patternFill>
      </s:fill>
      <s:border/>
    </s:dxf>
  </s:dxfs>
</s:styleSheet>
</file>

<file path=xl/_rels/workbook.xml.rels><?xml version="1.0" ?><Relationships xmlns="http://schemas.openxmlformats.org/package/2006/relationships"><Relationship Id="rId8" Type="http://schemas.openxmlformats.org/officeDocument/2006/relationships/theme" Target="theme/theme1.xml"/><Relationship Id="rId7" Type="http://schemas.openxmlformats.org/officeDocument/2006/relationships/styles" Target="styles.xml"/><Relationship Id="rId3" Type="http://schemas.openxmlformats.org/officeDocument/2006/relationships/worksheet" Target="worksheets/sheet3.xml"/><Relationship Id="rId10" Type="http://customschemas.google.com/relationships/workbookmetadata" Target="metadata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9"/></Relationships>
</file>

<file path=xl/drawings/_rels/drawing1.xml.rels><?xml version="1.0" 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895350" cy="381000"/>
    <xdr:pic>
      <xdr:nvPicPr>
        <xdr:cNvPr title="Изображение" id="0" name="image1.png"/>
        <xdr:cNvPicPr preferRelativeResize="0"/>
      </xdr:nvPicPr>
      <xdr:blipFill>
        <a:blip cstate="print" r:embed="rId1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t.me/petrochenkow" Type="http://schemas.openxmlformats.org/officeDocument/2006/relationships/hyperlink" Id="rId1"/><Relationship TargetMode="External" Target="https://convertmonster.ru/?utm_source=file&amp;utm_medium=link&amp;utm_campaign=interesy_fb" Type="http://schemas.openxmlformats.org/officeDocument/2006/relationships/hyperlink" Id="rId2"/><Relationship TargetMode="External" Target="http://vk.com/" Type="http://schemas.openxmlformats.org/officeDocument/2006/relationships/hyperlink" Id="rId3"/><Relationship TargetMode="External" Target="http://vk.com/" Type="http://schemas.openxmlformats.org/officeDocument/2006/relationships/hyperlink" Id="rId4"/><Relationship TargetMode="External" Target="http://ok.ru/" Type="http://schemas.openxmlformats.org/officeDocument/2006/relationships/hyperlink" Id="rId5"/><Relationship TargetMode="External" Target="http://mail.ru/" Type="http://schemas.openxmlformats.org/officeDocument/2006/relationships/hyperlink" Id="rId6"/><Relationship TargetMode="External" Target="http://vk.com/" Type="http://schemas.openxmlformats.org/officeDocument/2006/relationships/hyperlink" Id="rId7"/><Relationship TargetMode="External" Target="http://ok.ru/" Type="http://schemas.openxmlformats.org/officeDocument/2006/relationships/hyperlink" Id="rId8"/><Relationship TargetMode="External" Target="http://youdo.ru/" Type="http://schemas.openxmlformats.org/officeDocument/2006/relationships/hyperlink" Id="rId9"/><Relationship TargetMode="External" Target="http://wildberries.ru/" Type="http://schemas.openxmlformats.org/officeDocument/2006/relationships/hyperlink" Id="rId10"/><Relationship TargetMode="External" Target="http://ozon.ru/" Type="http://schemas.openxmlformats.org/officeDocument/2006/relationships/hyperlink" Id="rId11"/><Relationship TargetMode="External" Target="https://alladvertising.ru/info/byyd.html" Type="http://schemas.openxmlformats.org/officeDocument/2006/relationships/hyperlink" Id="rId12"/><Relationship TargetMode="External" Target="https://alladvertising.ru/info/segmento.html" Type="http://schemas.openxmlformats.org/officeDocument/2006/relationships/hyperlink" Id="rId13"/><Relationship TargetMode="External" Target="https://alladvertising.ru/info/hybrid_ai.html" Type="http://schemas.openxmlformats.org/officeDocument/2006/relationships/hyperlink" Id="rId14"/><Relationship TargetMode="External" Target="https://getintent.com/" Type="http://schemas.openxmlformats.org/officeDocument/2006/relationships/hyperlink" Id="rId15"/><Relationship TargetMode="External" Target="https://yabbi.me/" Type="http://schemas.openxmlformats.org/officeDocument/2006/relationships/hyperlink" Id="rId16"/><Relationship TargetMode="External" Target="https://betweenx.com/" Type="http://schemas.openxmlformats.org/officeDocument/2006/relationships/hyperlink" Id="rId17"/><Relationship TargetMode="External" Target="https://alladvertising.ru/info/criteo.html" Type="http://schemas.openxmlformats.org/officeDocument/2006/relationships/hyperlink" Id="rId18"/><Relationship TargetMode="External" Target="https://alladvertising.ru/info/bidease.html" Type="http://schemas.openxmlformats.org/officeDocument/2006/relationships/hyperlink" Id="rId19"/><Relationship TargetMode="External" Target="https://ramblergroup.com/technologies/atech/invmodel" Type="http://schemas.openxmlformats.org/officeDocument/2006/relationships/hyperlink" Id="rId20"/><Relationship TargetMode="External" Target="https://alladvertising.ru/info/soloway.html" Type="http://schemas.openxmlformats.org/officeDocument/2006/relationships/hyperlink" Id="rId21"/><Relationship TargetMode="External" Target="https://alladvertising.ru/info/advark.html" Type="http://schemas.openxmlformats.org/officeDocument/2006/relationships/hyperlink" Id="rId22"/><Relationship TargetMode="External" Target="https://alladvertising.ru/info/adsniper.html" Type="http://schemas.openxmlformats.org/officeDocument/2006/relationships/hyperlink" Id="rId23"/><Relationship TargetMode="External" Target="https://www.alladvertising.ru/info/aitarget.html" Type="http://schemas.openxmlformats.org/officeDocument/2006/relationships/hyperlink" Id="rId24"/><Relationship Target="../drawings/drawing1.xml" Type="http://schemas.openxmlformats.org/officeDocument/2006/relationships/drawing" Id="rId25"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>
      <s:pane ySplit="2" topLeftCell="A3" activePane="bottomLeft" state="frozen"/>
      <s:selection pane="bottomLeft" activeCell="B4" sqref="B4"/>
    </s:sheetView>
  </s:sheetViews>
  <s:sheetFormatPr defaultColWidth="12.63" defaultRowHeight="15" customHeight="1"/>
  <s:cols>
    <s:col min="1" max="1" width="29.63" customWidth="1"/>
    <s:col min="2" max="2" width="55" customWidth="1"/>
    <s:col min="3" max="3" width="54.38" customWidth="1"/>
    <s:col min="4" max="26" width="14.38" customWidth="1"/>
  </s:cols>
  <s:sheetData>
    <s:row r="1" ht="46.5" customHeight="1">
      <s:c r="A1" s="1"/>
      <s:c r="B1" s="2" t="s">
        <s:v>0</s:v>
      </s:c>
      <s:c r="C1" s="3" t="s">
        <s:v>1</s:v>
      </s:c>
      <s:c r="D1" s="1"/>
      <s:c r="E1" s="1"/>
      <s:c r="F1" s="1"/>
      <s:c r="G1" s="1"/>
      <s:c r="H1" s="1"/>
      <s:c r="I1" s="1"/>
      <s:c r="J1" s="1"/>
      <s:c r="K1" s="1"/>
      <s:c r="L1" s="1"/>
      <s:c r="M1" s="1"/>
      <s:c r="N1" s="1"/>
      <s:c r="O1" s="1"/>
      <s:c r="P1" s="1"/>
      <s:c r="Q1" s="1"/>
      <s:c r="R1" s="1"/>
      <s:c r="S1" s="1"/>
      <s:c r="T1" s="1"/>
      <s:c r="U1" s="1"/>
      <s:c r="V1" s="1"/>
      <s:c r="W1" s="1"/>
      <s:c r="X1" s="1"/>
      <s:c r="Y1" s="1"/>
      <s:c r="Z1" s="1"/>
    </s:row>
    <s:row r="2" ht="15.75" customHeight="1">
      <s:c r="A2" s="4" t="s">
        <s:v>2</s:v>
      </s:c>
      <s:c r="B2" s="4" t="s">
        <s:v>3</s:v>
      </s:c>
      <s:c r="C2" s="4" t="s">
        <s:v>4</s:v>
      </s:c>
      <s:c r="D2" s="4" t="s">
        <s:v>5</s:v>
      </s:c>
      <s:c r="E2" s="4"/>
      <s:c r="F2" s="4"/>
      <s:c r="G2" s="4"/>
      <s:c r="H2" s="4"/>
      <s:c r="I2" s="4"/>
      <s:c r="J2" s="4"/>
      <s:c r="K2" s="4"/>
      <s:c r="L2" s="4"/>
      <s:c r="M2" s="4"/>
      <s:c r="N2" s="4"/>
      <s:c r="O2" s="4"/>
      <s:c r="P2" s="4"/>
      <s:c r="Q2" s="4"/>
      <s:c r="R2" s="4"/>
      <s:c r="S2" s="4"/>
      <s:c r="T2" s="4"/>
      <s:c r="U2" s="4"/>
      <s:c r="V2" s="4"/>
      <s:c r="W2" s="4"/>
      <s:c r="X2" s="4"/>
    </s:row>
    <s:row r="3" ht="15.75" customHeight="1">
      <s:c r="A3" s="4" t="s">
        <s:v>6</s:v>
      </s:c>
      <s:c r="B3" s="5"/>
      <s:c r="C3" s="5"/>
      <s:c r="D3" s="5"/>
      <s:c r="E3" s="5"/>
      <s:c r="F3" s="5"/>
      <s:c r="G3" s="5"/>
      <s:c r="H3" s="5"/>
      <s:c r="I3" s="5"/>
      <s:c r="J3" s="5"/>
      <s:c r="K3" s="5"/>
      <s:c r="L3" s="5"/>
      <s:c r="M3" s="5"/>
      <s:c r="N3" s="5"/>
      <s:c r="O3" s="5"/>
      <s:c r="P3" s="5"/>
      <s:c r="Q3" s="5"/>
      <s:c r="R3" s="5"/>
      <s:c r="S3" s="5"/>
      <s:c r="T3" s="5"/>
      <s:c r="U3" s="5"/>
      <s:c r="V3" s="5"/>
      <s:c r="W3" s="5"/>
      <s:c r="X3" s="5"/>
    </s:row>
    <s:row r="4" ht="15.75" customHeight="1">
      <s:c r="A4" s="5"/>
      <s:c r="B4" s="6" t="s">
        <s:v>7</s:v>
      </s:c>
      <s:c r="C4" s="5" t="s">
        <s:v>8</s:v>
      </s:c>
      <s:c r="D4" s="5">
        <s:v>1.0</s:v>
      </s:c>
      <s:c r="E4" s="5"/>
      <s:c r="F4" s="5"/>
      <s:c r="G4" s="5"/>
      <s:c r="H4" s="5"/>
      <s:c r="I4" s="5"/>
      <s:c r="J4" s="5"/>
      <s:c r="K4" s="5"/>
      <s:c r="L4" s="5"/>
      <s:c r="M4" s="5"/>
      <s:c r="N4" s="5"/>
      <s:c r="O4" s="5"/>
      <s:c r="P4" s="5"/>
      <s:c r="Q4" s="5"/>
      <s:c r="R4" s="5"/>
      <s:c r="S4" s="5"/>
      <s:c r="T4" s="5"/>
      <s:c r="U4" s="5"/>
      <s:c r="V4" s="5"/>
      <s:c r="W4" s="5"/>
      <s:c r="X4" s="5"/>
    </s:row>
    <s:row r="5" ht="15.75" customHeight="1">
      <s:c r="A5" s="5"/>
      <s:c r="B5" s="5"/>
      <s:c r="C5" s="5" t="s">
        <s:v>9</s:v>
      </s:c>
      <s:c r="D5" s="5">
        <s:v>0.0</s:v>
      </s:c>
      <s:c r="E5" s="5"/>
      <s:c r="F5" s="5"/>
      <s:c r="G5" s="5"/>
      <s:c r="H5" s="5"/>
      <s:c r="I5" s="5"/>
      <s:c r="J5" s="5"/>
      <s:c r="K5" s="5"/>
      <s:c r="L5" s="5"/>
      <s:c r="M5" s="5"/>
      <s:c r="N5" s="5"/>
      <s:c r="O5" s="5"/>
      <s:c r="P5" s="5"/>
      <s:c r="Q5" s="5"/>
      <s:c r="R5" s="5"/>
      <s:c r="S5" s="5"/>
      <s:c r="T5" s="5"/>
      <s:c r="U5" s="5"/>
      <s:c r="V5" s="5"/>
      <s:c r="W5" s="5"/>
      <s:c r="X5" s="5"/>
    </s:row>
    <s:row r="6" ht="15.75" customHeight="1">
      <s:c r="A6" s="5"/>
      <s:c r="B6" s="6" t="s">
        <s:v>10</s:v>
      </s:c>
      <s:c r="D6" s="5"/>
      <s:c r="E6" s="5"/>
      <s:c r="F6" s="5"/>
      <s:c r="G6" s="5"/>
      <s:c r="H6" s="5"/>
      <s:c r="I6" s="5"/>
      <s:c r="J6" s="5"/>
      <s:c r="K6" s="5"/>
      <s:c r="L6" s="5"/>
      <s:c r="M6" s="5"/>
      <s:c r="N6" s="5"/>
      <s:c r="O6" s="5"/>
      <s:c r="P6" s="5"/>
      <s:c r="Q6" s="5"/>
      <s:c r="R6" s="5"/>
      <s:c r="S6" s="5"/>
      <s:c r="T6" s="5"/>
      <s:c r="U6" s="5"/>
      <s:c r="V6" s="5"/>
      <s:c r="W6" s="5"/>
      <s:c r="X6" s="5"/>
    </s:row>
    <s:row r="7" ht="15.75" customHeight="1">
      <s:c r="A7" s="5"/>
      <s:c r="B7" s="6" t="s">
        <s:v>11</s:v>
      </s:c>
      <s:c r="C7" s="7" t="s">
        <s:v>12</s:v>
      </s:c>
      <s:c r="D7" s="5"/>
      <s:c r="E7" s="5"/>
      <s:c r="F7" s="5"/>
      <s:c r="G7" s="5"/>
      <s:c r="H7" s="5"/>
      <s:c r="I7" s="5"/>
      <s:c r="J7" s="5"/>
      <s:c r="K7" s="5"/>
      <s:c r="L7" s="5"/>
      <s:c r="M7" s="5"/>
      <s:c r="N7" s="5"/>
      <s:c r="O7" s="5"/>
      <s:c r="P7" s="5"/>
      <s:c r="Q7" s="5"/>
      <s:c r="R7" s="5"/>
      <s:c r="S7" s="5"/>
      <s:c r="T7" s="5"/>
      <s:c r="U7" s="5"/>
      <s:c r="V7" s="5"/>
      <s:c r="W7" s="5"/>
      <s:c r="X7" s="5"/>
    </s:row>
    <s:row r="8" ht="15.75" customHeight="1">
      <s:c r="A8" s="5"/>
      <s:c r="C8" s="5" t="s">
        <s:v>13</s:v>
      </s:c>
      <s:c r="D8" s="5"/>
      <s:c r="E8" s="5"/>
      <s:c r="F8" s="5"/>
      <s:c r="G8" s="5"/>
      <s:c r="H8" s="5"/>
      <s:c r="I8" s="5"/>
      <s:c r="J8" s="5"/>
      <s:c r="K8" s="5"/>
      <s:c r="L8" s="5"/>
      <s:c r="M8" s="5"/>
      <s:c r="N8" s="5"/>
      <s:c r="O8" s="5"/>
      <s:c r="P8" s="5"/>
      <s:c r="Q8" s="5"/>
      <s:c r="R8" s="5"/>
      <s:c r="S8" s="5"/>
      <s:c r="T8" s="5"/>
      <s:c r="U8" s="5"/>
      <s:c r="V8" s="5"/>
      <s:c r="W8" s="5"/>
      <s:c r="X8" s="5"/>
    </s:row>
    <s:row r="9" ht="15.75" customHeight="1">
      <s:c r="A9" s="5"/>
      <s:c r="B9" s="6" t="s">
        <s:v>14</s:v>
      </s:c>
      <s:c r="C9" s="5" t="s">
        <s:v>15</s:v>
      </s:c>
      <s:c r="D9" s="5"/>
      <s:c r="E9" s="5"/>
      <s:c r="F9" s="5"/>
      <s:c r="G9" s="5"/>
      <s:c r="H9" s="5"/>
      <s:c r="I9" s="5"/>
      <s:c r="J9" s="5"/>
      <s:c r="K9" s="5"/>
      <s:c r="L9" s="5"/>
      <s:c r="M9" s="5"/>
      <s:c r="N9" s="5"/>
      <s:c r="O9" s="5"/>
      <s:c r="P9" s="5"/>
      <s:c r="Q9" s="5"/>
      <s:c r="R9" s="5"/>
      <s:c r="S9" s="5"/>
      <s:c r="T9" s="5"/>
      <s:c r="U9" s="5"/>
      <s:c r="V9" s="5"/>
      <s:c r="W9" s="5"/>
      <s:c r="X9" s="5"/>
    </s:row>
    <s:row r="10" ht="15.75" customHeight="1">
      <s:c r="A10" s="5"/>
      <s:c r="C10" s="7" t="s">
        <s:v>12</s:v>
      </s:c>
      <s:c r="D10" s="5"/>
      <s:c r="E10" s="5"/>
      <s:c r="F10" s="5"/>
      <s:c r="G10" s="5"/>
      <s:c r="H10" s="5"/>
      <s:c r="I10" s="5"/>
      <s:c r="J10" s="5"/>
      <s:c r="K10" s="5"/>
      <s:c r="L10" s="5"/>
      <s:c r="M10" s="5"/>
      <s:c r="N10" s="5"/>
      <s:c r="O10" s="5"/>
      <s:c r="P10" s="5"/>
      <s:c r="Q10" s="5"/>
      <s:c r="R10" s="5"/>
      <s:c r="S10" s="5"/>
      <s:c r="T10" s="5"/>
      <s:c r="U10" s="5"/>
      <s:c r="V10" s="5"/>
      <s:c r="W10" s="5"/>
      <s:c r="X10" s="5"/>
    </s:row>
    <s:row r="11" ht="15.75" customHeight="1">
      <s:c r="A11" s="5"/>
      <s:c r="B11" s="6" t="s">
        <s:v>16</s:v>
      </s:c>
      <s:c r="C11" s="5" t="s">
        <s:v>17</s:v>
      </s:c>
      <s:c r="D11" s="5"/>
      <s:c r="E11" s="5"/>
      <s:c r="F11" s="5"/>
      <s:c r="G11" s="5"/>
      <s:c r="H11" s="5"/>
      <s:c r="I11" s="5"/>
      <s:c r="J11" s="5"/>
      <s:c r="K11" s="5"/>
      <s:c r="L11" s="5"/>
      <s:c r="M11" s="5"/>
      <s:c r="N11" s="5"/>
      <s:c r="O11" s="5"/>
      <s:c r="P11" s="5"/>
      <s:c r="Q11" s="5"/>
      <s:c r="R11" s="5"/>
      <s:c r="S11" s="5"/>
      <s:c r="T11" s="5"/>
      <s:c r="U11" s="5"/>
      <s:c r="V11" s="5"/>
      <s:c r="W11" s="5"/>
      <s:c r="X11" s="5"/>
    </s:row>
    <s:row r="12" ht="15.75" customHeight="1">
      <s:c r="C12" s="8" t="s">
        <s:v>18</s:v>
      </s:c>
    </s:row>
    <s:row r="13" ht="15.75" customHeight="1">
      <s:c r="C13" s="8" t="s">
        <s:v>19</s:v>
      </s:c>
    </s:row>
    <s:row r="14" ht="15.75" customHeight="1">
      <s:c r="B14" s="6" t="s">
        <s:v>20</s:v>
      </s:c>
      <s:c r="C14" s="9" t="s">
        <s:v>8</s:v>
      </s:c>
    </s:row>
    <s:row r="15" ht="15.75" customHeight="1">
      <s:c r="C15" s="9" t="s">
        <s:v>21</s:v>
      </s:c>
    </s:row>
    <s:row r="16" ht="15.75" customHeight="1">
      <s:c r="C16" s="9" t="s">
        <s:v>22</s:v>
      </s:c>
    </s:row>
    <s:row r="17" ht="15.75" customHeight="1">
      <s:c r="B17" s="6" t="s">
        <s:v>23</s:v>
      </s:c>
      <s:c r="C17" s="9" t="s">
        <s:v>24</s:v>
      </s:c>
    </s:row>
    <s:row r="18" ht="15.75" customHeight="1">
      <s:c r="A18" s="10" t="s">
        <s:v>25</s:v>
      </s:c>
      <s:c r="B18" s="6"/>
    </s:row>
    <s:row r="19" ht="15.75" customHeight="1">
      <s:c r="A19" s="6"/>
      <s:c r="B19" s="6" t="s">
        <s:v>7</s:v>
      </s:c>
      <s:c r="C19" s="5" t="s">
        <s:v>8</s:v>
      </s:c>
    </s:row>
    <s:row r="20" ht="15.75" customHeight="1">
      <s:c r="C20" s="5" t="s">
        <s:v>9</s:v>
      </s:c>
    </s:row>
    <s:row r="21" ht="15.75" customHeight="1">
      <s:c r="B21" s="9" t="s">
        <s:v>26</s:v>
      </s:c>
      <s:c r="C21" s="9" t="s">
        <s:v>27</s:v>
      </s:c>
    </s:row>
    <s:row r="22" ht="15.75" customHeight="1">
      <s:c r="C22" s="9" t="s">
        <s:v>28</s:v>
      </s:c>
    </s:row>
    <s:row r="23" ht="15.75" customHeight="1">
      <s:c r="C23" s="9" t="s">
        <s:v>29</s:v>
      </s:c>
    </s:row>
    <s:row r="24" ht="15.75" customHeight="1">
      <s:c r="C24" s="11" t="s">
        <s:v>30</s:v>
      </s:c>
    </s:row>
    <s:row r="25" ht="15.75" customHeight="1">
      <s:c r="C25" s="9" t="s">
        <s:v>31</s:v>
      </s:c>
    </s:row>
    <s:row r="26" ht="15.75" customHeight="1">
      <s:c r="B26" s="9" t="s">
        <s:v>32</s:v>
      </s:c>
      <s:c r="C26" s="6" t="s">
        <s:v>29</s:v>
      </s:c>
    </s:row>
    <s:row r="27" ht="15.75" customHeight="1">
      <s:c r="C27" s="6" t="s">
        <s:v>33</s:v>
      </s:c>
    </s:row>
    <s:row r="28" ht="15.75" customHeight="1">
      <s:c r="B28" s="9" t="s">
        <s:v>34</s:v>
      </s:c>
      <s:c r="C28" s="5" t="s">
        <s:v>15</s:v>
      </s:c>
    </s:row>
    <s:row r="29" ht="15.75" customHeight="1">
      <s:c r="C29" s="7" t="s">
        <s:v>12</s:v>
      </s:c>
    </s:row>
    <s:row r="30" ht="15.75" customHeight="1">
      <s:c r="C30" s="8" t="s">
        <s:v>35</s:v>
      </s:c>
    </s:row>
    <s:row r="31" ht="15.75" customHeight="1">
      <s:c r="B31" s="9" t="s">
        <s:v>36</s:v>
      </s:c>
      <s:c r="C31" s="9" t="s">
        <s:v>37</s:v>
      </s:c>
    </s:row>
    <s:row r="32" ht="15.75" customHeight="1">
      <s:c r="C32" s="9" t="s">
        <s:v>38</s:v>
      </s:c>
    </s:row>
    <s:row r="33" ht="15.75" customHeight="1">
      <s:c r="C33" s="9" t="s">
        <s:v>39</s:v>
      </s:c>
    </s:row>
    <s:row r="34" ht="15.75" customHeight="1">
      <s:c r="C34" s="8" t="s">
        <s:v>40</s:v>
      </s:c>
    </s:row>
    <s:row r="35" ht="15.75" customHeight="1">
      <s:c r="A35" s="6"/>
      <s:c r="B35" s="6" t="s">
        <s:v>41</s:v>
      </s:c>
    </s:row>
    <s:row r="36" ht="15.75" customHeight="1">
      <s:c r="A36" s="6"/>
      <s:c r="B36" s="9" t="s">
        <s:v>42</s:v>
      </s:c>
      <s:c r="C36" s="9" t="s">
        <s:v>43</s:v>
      </s:c>
    </s:row>
    <s:row r="37" ht="15.75" customHeight="1">
      <s:c r="C37" s="9" t="s">
        <s:v>44</s:v>
      </s:c>
    </s:row>
    <s:row r="38" ht="15.75" customHeight="1">
      <s:c r="A38" s="6"/>
      <s:c r="C38" s="9" t="s">
        <s:v>45</s:v>
      </s:c>
    </s:row>
    <s:row r="39" ht="15.75" customHeight="1">
      <s:c r="A39" s="12" t="s">
        <s:v>46</s:v>
      </s:c>
    </s:row>
    <s:row r="40" ht="15.75" customHeight="1">
      <s:c r="B40" s="6" t="s">
        <s:v>7</s:v>
      </s:c>
      <s:c r="C40" s="5" t="s">
        <s:v>8</s:v>
      </s:c>
    </s:row>
    <s:row r="41" ht="15.75" customHeight="1">
      <s:c r="C41" s="5" t="s">
        <s:v>9</s:v>
      </s:c>
    </s:row>
    <s:row r="42" ht="15.75" customHeight="1">
      <s:c r="B42" s="9" t="s">
        <s:v>26</s:v>
      </s:c>
      <s:c r="C42" s="9" t="s">
        <s:v>27</s:v>
      </s:c>
    </s:row>
    <s:row r="43" ht="15.75" customHeight="1">
      <s:c r="C43" s="9" t="s">
        <s:v>28</s:v>
      </s:c>
    </s:row>
    <s:row r="44" ht="15.75" customHeight="1">
      <s:c r="C44" s="9" t="s">
        <s:v>47</s:v>
      </s:c>
    </s:row>
    <s:row r="45" ht="15.75" customHeight="1">
      <s:c r="C45" s="9" t="s">
        <s:v>48</s:v>
      </s:c>
    </s:row>
    <s:row r="46" ht="15.75" customHeight="1">
      <s:c r="C46" s="9" t="s">
        <s:v>49</s:v>
      </s:c>
    </s:row>
    <s:row r="47" ht="15.75" customHeight="1">
      <s:c r="B47" s="9" t="s">
        <s:v>50</s:v>
      </s:c>
      <s:c r="C47" s="9" t="s">
        <s:v>51</s:v>
      </s:c>
    </s:row>
    <s:row r="48" ht="15.75" customHeight="1">
      <s:c r="C48" s="8" t="s">
        <s:v>52</s:v>
      </s:c>
    </s:row>
    <s:row r="49" ht="15.75" customHeight="1">
      <s:c r="C49" s="8" t="s">
        <s:v>53</s:v>
      </s:c>
    </s:row>
    <s:row r="50" ht="15.75" customHeight="1">
      <s:c r="B50" s="9" t="s">
        <s:v>54</s:v>
      </s:c>
      <s:c r="C50" s="9" t="s">
        <s:v>55</s:v>
      </s:c>
    </s:row>
    <s:row r="51" ht="15.75" customHeight="1">
      <s:c r="C51" s="13" t="s">
        <s:v>56</s:v>
      </s:c>
    </s:row>
    <s:row r="52" ht="15.75" customHeight="1">
      <s:c r="C52" s="13" t="s">
        <s:v>57</s:v>
      </s:c>
    </s:row>
    <s:row r="53" ht="15.75" customHeight="1">
      <s:c r="A53" s="6"/>
      <s:c r="C53" s="13" t="s">
        <s:v>58</s:v>
      </s:c>
    </s:row>
    <s:row r="54" ht="15.75" customHeight="1">
      <s:c r="A54" s="6"/>
      <s:c r="C54" s="13" t="s">
        <s:v>59</s:v>
      </s:c>
    </s:row>
    <s:row r="55" ht="15.75" customHeight="1">
      <s:c r="A55" s="6"/>
      <s:c r="C55" s="13" t="s">
        <s:v>60</s:v>
      </s:c>
    </s:row>
    <s:row r="56" ht="15.75" customHeight="1">
      <s:c r="A56" s="6"/>
      <s:c r="C56" s="13" t="s">
        <s:v>61</s:v>
      </s:c>
    </s:row>
    <s:row r="57" ht="15.75" customHeight="1">
      <s:c r="A57" s="6"/>
      <s:c r="C57" s="13" t="s">
        <s:v>55</s:v>
      </s:c>
    </s:row>
    <s:row r="58" ht="15.75" customHeight="1">
      <s:c r="A58" s="6"/>
      <s:c r="C58" s="13" t="s">
        <s:v>62</s:v>
      </s:c>
    </s:row>
    <s:row r="59" ht="15.75" customHeight="1">
      <s:c r="A59" s="6"/>
      <s:c r="C59" s="13" t="s">
        <s:v>63</s:v>
      </s:c>
    </s:row>
    <s:row r="60" ht="15.75" customHeight="1">
      <s:c r="A60" s="6"/>
      <s:c r="C60" s="13" t="s">
        <s:v>64</s:v>
      </s:c>
    </s:row>
    <s:row r="61" ht="15.75" customHeight="1">
      <s:c r="C61" s="13" t="s">
        <s:v>65</s:v>
      </s:c>
    </s:row>
    <s:row r="62" ht="15.75" customHeight="1">
      <s:c r="C62" s="13" t="s">
        <s:v>66</s:v>
      </s:c>
    </s:row>
    <s:row r="63" ht="15.75" customHeight="1">
      <s:c r="C63" s="13" t="s">
        <s:v>67</s:v>
      </s:c>
    </s:row>
    <s:row r="64" ht="15.75" customHeight="1">
      <s:c r="A64" s="12" t="s">
        <s:v>68</s:v>
      </s:c>
      <s:c r="C64" s="6" t="s">
        <s:v>69</s:v>
      </s:c>
    </s:row>
    <s:row r="65" ht="15.75" customHeight="1">
      <s:c r="C65" s="6" t="s">
        <s:v>70</s:v>
      </s:c>
    </s:row>
    <s:row r="66" ht="15.75" customHeight="1">
      <s:c r="C66" s="6" t="s">
        <s:v>71</s:v>
      </s:c>
    </s:row>
    <s:row r="67" ht="15.75" customHeight="1">
      <s:c r="C67" s="6" t="s">
        <s:v>72</s:v>
      </s:c>
    </s:row>
    <s:row r="68" ht="15.75" customHeight="1">
      <s:c r="C68" s="6" t="s">
        <s:v>73</s:v>
      </s:c>
    </s:row>
    <s:row r="69" ht="15.75" customHeight="1">
      <s:c r="C69" s="6" t="s">
        <s:v>74</s:v>
      </s:c>
    </s:row>
    <s:row r="70" ht="15.75" customHeight="1"/>
    <s:row r="71" ht="15.75" customHeight="1"/>
    <s:row r="72" ht="15.75" customHeight="1"/>
    <s:row r="73" ht="15.75" customHeight="1"/>
    <s:row r="74" ht="15.75" customHeight="1"/>
    <s:row r="75" ht="15.75" customHeight="1"/>
    <s:row r="76" ht="15.75" customHeight="1"/>
    <s:row r="77" ht="15.75" customHeight="1"/>
    <s:row r="78" ht="15.75" customHeight="1"/>
    <s:row r="79" ht="15.75" customHeight="1"/>
    <s:row r="80" ht="15.75" customHeight="1"/>
    <s:row r="81" ht="15.75" customHeight="1"/>
    <s:row r="82" ht="15.75" customHeight="1"/>
    <s:row r="83" ht="15.75" customHeight="1"/>
    <s:row r="84" ht="15.75" customHeight="1"/>
    <s:row r="85" ht="15.75" customHeight="1"/>
    <s:row r="86" ht="15.75" customHeight="1"/>
    <s:row r="87" ht="15.75" customHeight="1"/>
    <s:row r="88" ht="15.75" customHeight="1"/>
    <s:row r="89" ht="15.75" customHeight="1"/>
    <s:row r="90" ht="15.75" customHeight="1"/>
    <s:row r="91" ht="15.75" customHeight="1"/>
    <s:row r="92" ht="15.75" customHeight="1"/>
    <s:row r="93" ht="15.75" customHeight="1"/>
    <s:row r="94" ht="15.75" customHeight="1"/>
    <s:row r="95" ht="15.75" customHeight="1"/>
    <s:row r="96" ht="15.75" customHeight="1"/>
    <s:row r="97" ht="15.75" customHeight="1"/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  <s:row r="1001" ht="15.75" customHeight="1"/>
  </s:sheetData>
  <s:conditionalFormatting sqref="D1:D1001">
    <s:cfRule type="cellIs" dxfId="0" priority="1" operator="equal">
      <s:formula>1</s:formula>
    </s:cfRule>
  </s:conditionalFormatting>
  <s:conditionalFormatting sqref="D1:D1001">
    <s:cfRule type="cellIs" dxfId="1" priority="2" operator="equal">
      <s:formula>0</s:formula>
    </s:cfRule>
  </s:conditionalFormatting>
  <s:hyperlinks>
    <s:hyperlink ref="B1" r:id="rId1"/>
    <s:hyperlink ref="C1" r:id="rId2"/>
    <s:hyperlink ref="C7" r:id="rId3"/>
    <s:hyperlink ref="C10" r:id="rId4"/>
    <s:hyperlink ref="C12" r:id="rId5"/>
    <s:hyperlink ref="C13" r:id="rId6"/>
    <s:hyperlink ref="C29" r:id="rId7"/>
    <s:hyperlink ref="C30" r:id="rId8"/>
    <s:hyperlink ref="C34" r:id="rId9"/>
    <s:hyperlink ref="C48" r:id="rId10"/>
    <s:hyperlink ref="C49" r:id="rId11"/>
    <s:hyperlink ref="C51" r:id="rId12"/>
    <s:hyperlink ref="C52" r:id="rId13"/>
    <s:hyperlink ref="C53" r:id="rId14"/>
    <s:hyperlink ref="C54" r:id="rId15"/>
    <s:hyperlink ref="C55" r:id="rId16"/>
    <s:hyperlink ref="C56" r:id="rId17"/>
    <s:hyperlink ref="C57" r:id="rId18"/>
    <s:hyperlink ref="C58" r:id="rId19"/>
    <s:hyperlink ref="C59" r:id="rId20"/>
    <s:hyperlink ref="C60" r:id="rId21"/>
    <s:hyperlink ref="C61" r:id="rId22"/>
    <s:hyperlink ref="C62" r:id="rId23"/>
    <s:hyperlink ref="C63" r:id="rId24"/>
  </s:hyperlinks>
  <s:drawing r:id="rId25"/>
</s:worksheet>
</file>

<file path=xl/worksheets/sheet2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" customHeight="1"/>
  <s:cols>
    <s:col min="1" max="1" width="30.13" customWidth="1"/>
  </s:cols>
  <s:sheetData>
    <s:row r="1">
      <s:c r="A1" s="9" t="s">
        <s:v>75</s:v>
      </s:c>
    </s:row>
    <s:row r="3">
      <s:c r="A3" s="9" t="s">
        <s:v>76</s:v>
      </s:c>
      <s:c r="B3" s="9" t="s">
        <s:v>9</s:v>
      </s:c>
    </s:row>
    <s:row r="4">
      <s:c r="B4" s="9" t="s">
        <s:v>77</s:v>
      </s:c>
    </s:row>
    <s:row r="7">
      <s:c r="A7" s="9" t="s">
        <s:v>78</s:v>
      </s:c>
    </s:row>
    <s:row r="8">
      <s:c r="B8" s="9" t="s">
        <s:v>79</s:v>
      </s:c>
    </s:row>
    <s:row r="9">
      <s:c r="B9" s="9" t="s">
        <s:v>80</s:v>
      </s:c>
    </s:row>
    <s:row r="10">
      <s:c r="B10" s="12" t="s">
        <s:v>81</s:v>
      </s:c>
    </s:row>
    <s:row r="13">
      <s:c r="A13" s="9" t="s">
        <s:v>82</s:v>
      </s:c>
    </s:row>
    <s:row r="14">
      <s:c r="B14" s="9" t="s">
        <s:v>83</s:v>
      </s:c>
    </s:row>
    <s:row r="15">
      <s:c r="B15" s="9" t="s">
        <s:v>84</s:v>
      </s:c>
    </s:row>
    <s:row r="18">
      <s:c r="A18" s="12" t="s">
        <s:v>85</s:v>
      </s:c>
    </s:row>
    <s:row r="19">
      <s:c r="B19" s="12" t="s">
        <s:v>86</s:v>
      </s:c>
    </s:row>
    <s:row r="20">
      <s:c r="B20" s="12" t="s">
        <s:v>87</s:v>
      </s:c>
    </s:row>
    <s:row r="21">
      <s:c r="B21" s="12" t="s">
        <s:v>88</s:v>
      </s:c>
    </s:row>
    <s:row r="22">
      <s:c r="B22" s="12" t="s">
        <s:v>89</s:v>
      </s:c>
    </s:row>
    <s:row r="23">
      <s:c r="B23" s="12" t="s">
        <s:v>90</s:v>
      </s:c>
    </s:row>
    <s:row r="25">
      <s:c r="A25" s="9" t="s">
        <s:v>91</s:v>
      </s:c>
    </s:row>
    <s:row r="26">
      <s:c r="B26" s="9" t="s">
        <s:v>92</s:v>
      </s:c>
    </s:row>
    <s:row r="27">
      <s:c r="B27" s="9" t="s">
        <s:v>93</s:v>
      </s:c>
    </s:row>
    <s:row r="28">
      <s:c r="B28" s="9" t="s">
        <s:v>94</s:v>
      </s:c>
    </s:row>
    <s:row r="31">
      <s:c r="A31" s="12" t="s">
        <s:v>95</s:v>
      </s:c>
    </s:row>
  </s:sheetData>
</s:worksheet>
</file>

<file path=xl/worksheets/sheet3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" customHeight="1"/>
  <s:cols>
    <s:col min="10" max="10" width="23.13" customWidth="1"/>
    <s:col min="11" max="11" width="17.25" customWidth="1"/>
    <s:col min="12" max="12" width="17.13" customWidth="1"/>
  </s:cols>
  <s:sheetData>
    <s:row r="1">
      <s:c r="K1" s="9" t="s">
        <s:v>96</s:v>
      </s:c>
      <s:c r="L1" s="14">
        <s:v>45111.0</s:v>
      </s:c>
      <s:c r="M1" s="9" t="s">
        <s:v>97</s:v>
      </s:c>
    </s:row>
    <s:row r="2">
      <s:c r="C2" s="15"/>
    </s:row>
    <s:row r="3">
      <s:c r="C3" s="15"/>
    </s:row>
    <s:row r="4">
      <s:c r="C4" s="15"/>
    </s:row>
    <s:row r="5">
      <s:c r="C5" s="15"/>
      <s:c r="J5" s="12"/>
    </s:row>
    <s:row r="6">
      <s:c r="C6" s="15"/>
      <s:c r="D6" s="16"/>
      <s:c r="J6" s="12" t="s">
        <s:v>98</s:v>
      </s:c>
      <s:c r="K6" s="9" t="s">
        <s:v>99</s:v>
      </s:c>
      <s:c r="L6" s="9" t="s">
        <s:v>100</s:v>
      </s:c>
      <s:c r="M6" s="9" t="s">
        <s:v>101</s:v>
      </s:c>
    </s:row>
    <s:row r="7">
      <s:c r="C7" s="15"/>
      <s:c r="D7" s="16"/>
      <s:c r="E7" s="17"/>
      <s:c r="J7" s="9" t="s">
        <s:v>102</s:v>
      </s:c>
      <s:c r="K7" s="9" t="s">
        <s:v>103</s:v>
      </s:c>
      <s:c r="L7" s="9" t="s">
        <s:v>104</s:v>
      </s:c>
      <s:c r="M7" s="9" t="s">
        <s:v>105</s:v>
      </s:c>
    </s:row>
    <s:row r="8">
      <s:c r="C8" s="18"/>
      <s:c r="D8" s="16"/>
      <s:c r="E8" s="17"/>
    </s:row>
    <s:row r="9">
      <s:c r="C9" s="18"/>
      <s:c r="D9" s="16"/>
      <s:c r="E9" s="17"/>
    </s:row>
    <s:row r="10">
      <s:c r="C10" s="18"/>
      <s:c r="D10" s="16"/>
      <s:c r="E10" s="17"/>
      <s:c r="J10" s="9" t="s">
        <s:v>106</s:v>
      </s:c>
    </s:row>
    <s:row r="11">
      <s:c r="C11" s="18"/>
      <s:c r="D11" s="16"/>
      <s:c r="E11" s="17"/>
      <s:c r="J11" s="9" t="s">
        <s:v>107</s:v>
      </s:c>
    </s:row>
    <s:row r="12">
      <s:c r="C12" s="18"/>
      <s:c r="D12" s="16"/>
      <s:c r="E12" s="17"/>
      <s:c r="J12" s="9" t="s">
        <s:v>108</s:v>
      </s:c>
    </s:row>
    <s:row r="13">
      <s:c r="C13" s="18"/>
      <s:c r="D13" s="16"/>
      <s:c r="E13" s="17"/>
      <s:c r="J13" s="9" t="s">
        <s:v>109</s:v>
      </s:c>
    </s:row>
    <s:row r="14">
      <s:c r="C14" s="18"/>
      <s:c r="D14" s="16"/>
      <s:c r="E14" s="17"/>
    </s:row>
    <s:row r="15">
      <s:c r="C15" s="18"/>
      <s:c r="D15" s="16"/>
      <s:c r="E15" s="17"/>
    </s:row>
    <s:row r="16">
      <s:c r="C16" s="18"/>
      <s:c r="D16" s="16"/>
      <s:c r="E16" s="17"/>
    </s:row>
    <s:row r="17">
      <s:c r="C17" s="18"/>
      <s:c r="D17" s="16"/>
      <s:c r="E17" s="17"/>
    </s:row>
    <s:row r="18">
      <s:c r="C18" s="18"/>
      <s:c r="D18" s="16"/>
      <s:c r="E18" s="17"/>
    </s:row>
    <s:row r="19">
      <s:c r="C19" s="18"/>
      <s:c r="D19" s="16"/>
      <s:c r="E19" s="19"/>
    </s:row>
    <s:row r="20">
      <s:c r="C20" s="18"/>
      <s:c r="D20" s="16"/>
      <s:c r="E20" s="19"/>
    </s:row>
    <s:row r="21">
      <s:c r="C21" s="18"/>
      <s:c r="D21" s="16"/>
      <s:c r="E21" s="19"/>
      <s:c r="G21" s="20"/>
    </s:row>
    <s:row r="22">
      <s:c r="C22" s="18"/>
      <s:c r="D22" s="16"/>
      <s:c r="E22" s="19"/>
      <s:c r="G22" s="20"/>
      <s:c r="H22" s="20"/>
    </s:row>
    <s:row r="23">
      <s:c r="C23" s="18"/>
      <s:c r="D23" s="16"/>
      <s:c r="E23" s="19"/>
      <s:c r="F23" s="19"/>
      <s:c r="G23" s="20"/>
      <s:c r="H23" s="21"/>
      <s:c r="I23" s="20"/>
    </s:row>
    <s:row r="24">
      <s:c r="C24" s="18"/>
      <s:c r="D24" s="16"/>
      <s:c r="E24" s="19"/>
      <s:c r="F24" s="19"/>
      <s:c r="G24" s="20"/>
      <s:c r="H24" s="21"/>
      <s:c r="I24" s="22"/>
    </s:row>
    <s:row r="25">
      <s:c r="C25" s="12" t="s">
        <s:v>110</s:v>
      </s:c>
      <s:c r="D25" s="12" t="s">
        <s:v>111</s:v>
      </s:c>
      <s:c r="E25" s="12" t="s">
        <s:v>112</s:v>
      </s:c>
      <s:c r="F25" s="9" t="s">
        <s:v>102</s:v>
      </s:c>
      <s:c r="G25" s="12" t="s">
        <s:v>113</s:v>
      </s:c>
      <s:c r="H25" s="12" t="s">
        <s:v>114</s:v>
      </s:c>
      <s:c r="I25" s="12" t="s">
        <s:v>115</s:v>
      </s:c>
      <s:c r="K25" s="9" t="s">
        <s:v>116</s:v>
      </s:c>
      <s:c r="L25" s="9">
        <s:v>15.0</s:v>
      </s:c>
    </s:row>
    <s:row r="26">
      <s:c r="L26" s="9">
        <s:v>15.0</s:v>
      </s:c>
    </s:row>
    <s:row r="27">
      <s:c r="G27" s="9" t="s">
        <s:v>117</s:v>
      </s:c>
    </s:row>
    <s:row r="28">
      <s:c r="G28" s="9" t="s">
        <s:v>118</s:v>
      </s:c>
    </s:row>
  </s:sheetData>
</s:worksheet>
</file>

<file path=xl/worksheets/sheet4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" customHeight="1"/>
  <s:sheetData>
    <s:row r="5">
      <s:c r="D5" s="9" t="s">
        <s:v>119</s:v>
      </s:c>
      <s:c r="E5" s="9" t="s">
        <s:v>120</s:v>
      </s:c>
      <s:c r="F5" s="9" t="s">
        <s:v>121</s:v>
      </s:c>
      <s:c r="G5" s="9" t="s">
        <s:v>46</s:v>
      </s:c>
      <s:c r="H5" s="9" t="s">
        <s:v>122</s:v>
      </s:c>
    </s:row>
    <s:row r="6">
      <s:c r="C6" s="9">
        <s:v>1.0</s:v>
      </s:c>
      <s:c r="D6" s="23">
        <s:v>100000.0</s:v>
      </s:c>
      <s:c r="E6" s="9">
        <s:v>40.0</s:v>
      </s:c>
      <s:c r="F6" s="23">
        <s:f validation_="true">D6/E6</s:f>
        <s:v>2500</s:v>
      </s:c>
      <s:c r="G6" s="9">
        <s:v>5.0</s:v>
      </s:c>
      <s:c r="H6" s="23">
        <s:f validation_="true">D6/G6</s:f>
        <s:v>20000</s:v>
      </s:c>
    </s:row>
    <s:row r="7">
      <s:c r="A7" s="12"/>
      <s:c r="B7" s="12"/>
      <s:c r="C7" s="12">
        <s:v>2.0</s:v>
      </s:c>
      <s:c r="D7" s="24">
        <s:v>100000.0</s:v>
      </s:c>
      <s:c r="E7" s="12">
        <s:v>50.0</s:v>
      </s:c>
      <s:c r="F7" s="24">
        <s:f validation_="true">D7/E7</s:f>
        <s:v>2000</s:v>
      </s:c>
      <s:c r="G7" s="12">
        <s:v>2.0</s:v>
      </s:c>
      <s:c r="H7" s="24">
        <s:f validation_="true">D7/G7</s:f>
        <s:v>50000</s:v>
      </s:c>
      <s:c r="I7" s="12"/>
    </s:row>
    <s:row r="8">
      <s:c r="C8" s="9">
        <s:v>3.0</s:v>
      </s:c>
      <s:c r="D8" s="23">
        <s:v>100000.0</s:v>
      </s:c>
      <s:c r="E8" s="9">
        <s:v>45.0</s:v>
      </s:c>
      <s:c r="F8" s="23">
        <s:f validation_="true">D8/E8</s:f>
        <s:v>2222.222222</s:v>
      </s:c>
      <s:c r="G8" s="9">
        <s:v>9.0</s:v>
      </s:c>
      <s:c r="H8" s="23">
        <s:f validation_="true">D8/G8</s:f>
        <s:v>11111.11111</s:v>
      </s:c>
    </s:row>
    <s:row r="9">
      <s:c r="C9" s="9" t="s">
        <s:v>123</s:v>
      </s:c>
      <s:c r="D9" s="23">
        <s:f validation_="true">SUM(D6:D8)</s:f>
        <s:v>300000</s:v>
      </s:c>
      <s:c r="E9" s="9">
        <s:f validation_="true">SUM(E6:E8)</s:f>
        <s:v>135</s:v>
      </s:c>
      <s:c r="F9" s="23">
        <s:f validation_="true">D9/E9</s:f>
        <s:v>2222.222222</s:v>
      </s:c>
      <s:c r="G9" s="9">
        <s:f>SUM(G6:G8)</s:f>
        <s:v>16</s:v>
      </s:c>
      <s:c r="H9" s="24">
        <s:f validation_="true">D9/G9</s:f>
        <s:v>18750</s:v>
      </s:c>
    </s:row>
    <s:row r="10">
      <s:c r="D10" s="23"/>
    </s:row>
    <s:row r="11">
      <s:c r="D11" s="23"/>
    </s:row>
    <s:row r="14">
      <s:c r="D14" s="9" t="s">
        <s:v>119</s:v>
      </s:c>
      <s:c r="E14" s="9" t="s">
        <s:v>120</s:v>
      </s:c>
      <s:c r="F14" s="9" t="s">
        <s:v>121</s:v>
      </s:c>
      <s:c r="G14" s="9" t="s">
        <s:v>46</s:v>
      </s:c>
      <s:c r="H14" s="9" t="s">
        <s:v>122</s:v>
      </s:c>
    </s:row>
    <s:row r="15">
      <s:c r="C15" s="9">
        <s:v>1.0</s:v>
      </s:c>
      <s:c r="D15" s="23">
        <s:v>100000.0</s:v>
      </s:c>
      <s:c r="E15" s="9">
        <s:v>40.0</s:v>
      </s:c>
      <s:c r="F15" s="23">
        <s:f validation_="true">D15/E15</s:f>
        <s:v>2500</s:v>
      </s:c>
      <s:c r="G15" s="9">
        <s:v>5.0</s:v>
      </s:c>
      <s:c r="H15" s="23">
        <s:f validation_="true">D15/G15</s:f>
        <s:v>20000</s:v>
      </s:c>
    </s:row>
    <s:row r="16">
      <s:c r="B16" s="12"/>
      <s:c r="C16" s="12">
        <s:v>2.0</s:v>
      </s:c>
      <s:c r="D16" s="24">
        <s:v>0.0</s:v>
      </s:c>
      <s:c r="E16" s="12"/>
      <s:c r="F16" s="24" t="e">
        <s:f validation_="true">D16/E16</s:f>
        <s:v>#DIV/0!</s:v>
      </s:c>
      <s:c r="G16" s="12">
        <s:v>2.0</s:v>
      </s:c>
      <s:c r="H16" s="24">
        <s:f validation_="true">D16/G16</s:f>
        <s:v>0</s:v>
      </s:c>
      <s:c r="I16" s="12"/>
    </s:row>
    <s:row r="17">
      <s:c r="C17" s="9">
        <s:v>3.0</s:v>
      </s:c>
      <s:c r="D17" s="23">
        <s:v>200000.0</s:v>
      </s:c>
      <s:c r="E17" s="25">
        <s:f>D17/F17</s:f>
        <s:v>90.0090009</s:v>
      </s:c>
      <s:c r="F17" s="9">
        <s:v>2222.0</s:v>
      </s:c>
      <s:c r="G17" s="9">
        <s:v>18.0</s:v>
      </s:c>
      <s:c r="H17" s="23">
        <s:f validation_="true">D17/G17</s:f>
        <s:v>11111.11111</s:v>
      </s:c>
    </s:row>
    <s:row r="18">
      <s:c r="C18" s="9" t="s">
        <s:v>123</s:v>
      </s:c>
      <s:c r="D18" s="23">
        <s:f validation_="true">SUM(D15:D17)</s:f>
        <s:v>300000</s:v>
      </s:c>
      <s:c r="E18" s="9">
        <s:f validation_="true">SUM(E15:E17)</s:f>
        <s:v>130.0090009</s:v>
      </s:c>
      <s:c r="F18" s="23">
        <s:f>D18/E18</s:f>
        <s:v>2307.532539</s:v>
      </s:c>
      <s:c r="G18" s="9">
        <s:f>SUM(G15:G17)</s:f>
        <s:v>25</s:v>
      </s:c>
      <s:c r="H18" s="24">
        <s:f validation_="true">D18/G18</s:f>
        <s:v>12000</s:v>
      </s:c>
    </s:row>
    <s:row r="19">
      <s:c r="D19" s="23"/>
    </s:row>
    <s:row r="21">
      <s:c r="G21" s="26">
        <s:f validation_="true">G18/G9</s:f>
        <s:v>1.5625</s:v>
      </s:c>
      <s:c r="H21" s="26">
        <s:f validation_="true">H18/H9</s:f>
        <s:v>0.64</s:v>
      </s:c>
    </s:row>
  </s:sheetData>
</s:worksheet>
</file>

<file path=xl/worksheets/sheet5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" customHeight="1"/>
  <s:sheetData>
    <s:row r="1">
      <s:c r="A1" s="27"/>
      <s:c r="B1" s="27"/>
    </s:row>
    <s:row r="2">
      <s:c r="A2" s="28"/>
      <s:c r="B2" s="28"/>
    </s:row>
    <s:row r="3">
      <s:c r="A3" s="29"/>
      <s:c r="B3" s="30"/>
      <s:c r="C3" s="31"/>
      <s:c r="D3" s="31"/>
      <s:c r="E3" s="31"/>
      <s:c r="F3" s="32"/>
    </s:row>
    <s:row r="4">
      <s:c r="A4" s="33"/>
      <s:c r="B4" s="34"/>
      <s:c r="C4" s="34"/>
      <s:c r="D4" s="34"/>
      <s:c r="E4" s="35"/>
      <s:c r="F4" s="36"/>
      <s:c r="K4" s="9" t="s">
        <s:v>124</s:v>
      </s:c>
    </s:row>
    <s:row r="5">
      <s:c r="A5" s="37"/>
      <s:c r="B5" s="35"/>
      <s:c r="C5" s="34"/>
      <s:c r="D5" s="34"/>
      <s:c r="E5" s="35"/>
      <s:c r="F5" s="36"/>
      <s:c r="K5" s="9" t="s">
        <s:v>125</s:v>
      </s:c>
    </s:row>
    <s:row r="6">
      <s:c r="A6" s="37"/>
      <s:c r="B6" s="35"/>
      <s:c r="C6" s="34"/>
      <s:c r="D6" s="34"/>
      <s:c r="E6" s="34"/>
      <s:c r="F6" s="38"/>
      <s:c r="G6" s="34"/>
      <s:c r="H6" s="34"/>
      <s:c r="I6" s="34"/>
      <s:c r="J6" s="34"/>
      <s:c r="K6" s="9" t="s">
        <s:v>126</s:v>
      </s:c>
    </s:row>
    <s:row r="7">
      <s:c r="A7" s="37"/>
      <s:c r="B7" s="35"/>
      <s:c r="C7" s="34"/>
      <s:c r="D7" s="34"/>
      <s:c r="E7" s="34"/>
      <s:c r="F7" s="38"/>
      <s:c r="G7" s="34"/>
      <s:c r="H7" s="34"/>
      <s:c r="I7" s="34"/>
      <s:c r="J7" s="34"/>
    </s:row>
    <s:row r="8">
      <s:c r="A8" s="37"/>
      <s:c r="B8" s="35"/>
      <s:c r="C8" s="34"/>
      <s:c r="D8" s="34"/>
      <s:c r="E8" s="34"/>
      <s:c r="F8" s="38"/>
      <s:c r="G8" s="34"/>
      <s:c r="H8" s="34"/>
      <s:c r="I8" s="34"/>
      <s:c r="J8" s="34"/>
    </s:row>
    <s:row r="9">
      <s:c r="A9" s="37"/>
      <s:c r="B9" s="35"/>
      <s:c r="C9" s="34"/>
      <s:c r="D9" s="34"/>
      <s:c r="E9" s="34"/>
      <s:c r="F9" s="38"/>
      <s:c r="G9" s="34"/>
      <s:c r="H9" s="34"/>
      <s:c r="I9" s="34"/>
      <s:c r="J9" s="34"/>
    </s:row>
    <s:row r="10">
      <s:c r="A10" s="37"/>
      <s:c r="B10" s="35"/>
      <s:c r="C10" s="34"/>
      <s:c r="D10" s="34"/>
      <s:c r="E10" s="34"/>
      <s:c r="F10" s="38"/>
      <s:c r="G10" s="34"/>
      <s:c r="H10" s="34"/>
      <s:c r="I10" s="34"/>
      <s:c r="J10" s="34"/>
      <s:c r="K10" s="9" t="s">
        <s:v>127</s:v>
      </s:c>
    </s:row>
    <s:row r="11">
      <s:c r="A11" s="37"/>
      <s:c r="B11" s="35"/>
      <s:c r="C11" s="34"/>
      <s:c r="D11" s="34"/>
      <s:c r="E11" s="34"/>
      <s:c r="F11" s="38"/>
      <s:c r="G11" s="34"/>
      <s:c r="H11" s="34"/>
      <s:c r="I11" s="34"/>
      <s:c r="J11" s="34"/>
      <s:c r="K11" s="9" t="s">
        <s:v>128</s:v>
      </s:c>
    </s:row>
    <s:row r="12">
      <s:c r="A12" s="37"/>
      <s:c r="B12" s="35"/>
      <s:c r="C12" s="34"/>
      <s:c r="D12" s="34"/>
      <s:c r="E12" s="34"/>
      <s:c r="F12" s="38"/>
      <s:c r="G12" s="34"/>
      <s:c r="H12" s="34"/>
      <s:c r="I12" s="34"/>
      <s:c r="J12" s="34"/>
    </s:row>
    <s:row r="13">
      <s:c r="A13" s="37"/>
      <s:c r="B13" s="35"/>
      <s:c r="C13" s="34"/>
      <s:c r="D13" s="34"/>
      <s:c r="E13" s="34"/>
      <s:c r="F13" s="38"/>
      <s:c r="G13" s="34"/>
      <s:c r="H13" s="34"/>
      <s:c r="I13" s="34"/>
      <s:c r="J13" s="34"/>
    </s:row>
    <s:row r="14">
      <s:c r="A14" s="37"/>
      <s:c r="B14" s="35"/>
      <s:c r="C14" s="34"/>
      <s:c r="D14" s="34"/>
      <s:c r="E14" s="34"/>
      <s:c r="F14" s="38"/>
      <s:c r="G14" s="34"/>
      <s:c r="H14" s="34"/>
      <s:c r="I14" s="34"/>
      <s:c r="J14" s="34"/>
    </s:row>
    <s:row r="15">
      <s:c r="A15" s="39"/>
      <s:c r="B15" s="40"/>
      <s:c r="C15" s="41"/>
      <s:c r="D15" s="41"/>
      <s:c r="E15" s="41"/>
      <s:c r="F15" s="42"/>
      <s:c r="G15" s="34"/>
      <s:c r="H15" s="34"/>
      <s:c r="I15" s="34"/>
      <s:c r="J15" s="34"/>
    </s:row>
    <s:row r="16">
      <s:c r="C16" s="34"/>
      <s:c r="D16" s="34"/>
      <s:c r="E16" s="34"/>
      <s:c r="F16" s="34"/>
      <s:c r="G16" s="34"/>
      <s:c r="H16" s="34"/>
      <s:c r="I16" s="34"/>
      <s:c r="J16" s="34"/>
    </s:row>
    <s:row r="17">
      <s:c r="C17" s="34"/>
      <s:c r="D17" s="34"/>
      <s:c r="E17" s="34"/>
      <s:c r="F17" s="34"/>
      <s:c r="G17" s="34"/>
      <s:c r="H17" s="34"/>
      <s:c r="I17" s="34"/>
      <s:c r="J17" s="34"/>
    </s:row>
    <s:row r="18">
      <s:c r="C18" s="34"/>
      <s:c r="D18" s="34"/>
      <s:c r="E18" s="34"/>
      <s:c r="F18" s="34"/>
      <s:c r="G18" s="34"/>
      <s:c r="H18" s="34"/>
      <s:c r="I18" s="34"/>
      <s:c r="J18" s="34"/>
    </s:row>
    <s:row r="19">
      <s:c r="C19" s="34"/>
      <s:c r="D19" s="34"/>
      <s:c r="E19" s="34"/>
      <s:c r="F19" s="34"/>
      <s:c r="G19" s="34"/>
      <s:c r="H19" s="34"/>
      <s:c r="I19" s="34"/>
      <s:c r="J19" s="34"/>
    </s:row>
    <s:row r="20">
      <s:c r="C20" s="34"/>
      <s:c r="D20" s="34"/>
      <s:c r="E20" s="34"/>
      <s:c r="F20" s="34"/>
      <s:c r="G20" s="34"/>
      <s:c r="H20" s="34"/>
      <s:c r="I20" s="34"/>
      <s:c r="J20" s="34"/>
    </s:row>
    <s:row r="21">
      <s:c r="C21" s="34"/>
      <s:c r="D21" s="34"/>
      <s:c r="E21" s="34"/>
      <s:c r="F21" s="34"/>
      <s:c r="G21" s="34"/>
      <s:c r="H21" s="34"/>
      <s:c r="I21" s="34"/>
      <s:c r="J21" s="34"/>
    </s:row>
    <s:row r="22">
      <s:c r="C22" s="34"/>
      <s:c r="D22" s="34"/>
      <s:c r="E22" s="34"/>
      <s:c r="F22" s="34"/>
      <s:c r="G22" s="34"/>
      <s:c r="H22" s="34"/>
      <s:c r="I22" s="34"/>
      <s:c r="J22" s="34"/>
    </s:row>
    <s:row r="23">
      <s:c r="C23" s="34"/>
      <s:c r="D23" s="34"/>
      <s:c r="E23" s="34"/>
      <s:c r="F23" s="34"/>
      <s:c r="G23" s="34"/>
      <s:c r="H23" s="34"/>
      <s:c r="I23" s="34"/>
      <s:c r="J23" s="34"/>
    </s:row>
    <s:row r="24">
      <s:c r="C24" s="34"/>
      <s:c r="D24" s="34"/>
      <s:c r="E24" s="34"/>
      <s:c r="F24" s="34"/>
      <s:c r="G24" s="34"/>
      <s:c r="H24" s="34"/>
      <s:c r="I24" s="34"/>
      <s:c r="J24" s="34"/>
    </s:row>
    <s:row r="25">
      <s:c r="C25" s="34"/>
      <s:c r="D25" s="34"/>
      <s:c r="E25" s="34"/>
      <s:c r="F25" s="34"/>
      <s:c r="G25" s="34"/>
      <s:c r="H25" s="34"/>
      <s:c r="I25" s="34"/>
      <s:c r="J25" s="34"/>
    </s:row>
    <s:row r="26">
      <s:c r="C26" s="34"/>
      <s:c r="D26" s="34"/>
      <s:c r="E26" s="34"/>
      <s:c r="F26" s="34"/>
      <s:c r="G26" s="34"/>
      <s:c r="H26" s="34"/>
      <s:c r="I26" s="34"/>
      <s:c r="J26" s="34"/>
    </s:row>
    <s:row r="27">
      <s:c r="C27" s="34"/>
      <s:c r="D27" s="34"/>
      <s:c r="E27" s="34"/>
      <s:c r="F27" s="34"/>
      <s:c r="G27" s="34"/>
      <s:c r="H27" s="34"/>
      <s:c r="I27" s="34"/>
      <s:c r="J27" s="34"/>
    </s:row>
    <s:row r="28">
      <s:c r="C28" s="34"/>
      <s:c r="D28" s="34"/>
      <s:c r="E28" s="34"/>
      <s:c r="F28" s="34"/>
      <s:c r="G28" s="34"/>
      <s:c r="H28" s="34"/>
      <s:c r="I28" s="34"/>
      <s:c r="J28" s="34"/>
    </s:row>
  </s:sheetData>
</s:worksheet>
</file>

<file path=xl/worksheets/sheet6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" customHeight="1"/>
  <s:sheetData>
    <s:row r="1">
      <s:c r="C1" s="12" t="s">
        <s:v>129</s:v>
      </s:c>
      <s:c r="D1" s="9" t="s">
        <s:v>130</s:v>
      </s:c>
      <s:c r="F1" s="9" t="s">
        <s:v>131</s:v>
      </s:c>
      <s:c r="G1" s="9" t="s">
        <s:v>132</s:v>
      </s:c>
    </s:row>
    <s:row r="2">
      <s:c r="B2" s="9" t="s">
        <s:v>133</s:v>
      </s:c>
      <s:c r="C2" s="43"/>
      <s:c r="D2" s="43"/>
      <s:c r="F2" s="9" t="s">
        <s:v>134</s:v>
      </s:c>
      <s:c r="G2" s="43"/>
      <s:c r="H2" s="43"/>
    </s:row>
    <s:row r="3">
      <s:c r="A3" s="44"/>
      <s:c r="B3" s="44" t="s">
        <s:v>135</s:v>
      </s:c>
      <s:c r="C3" s="44"/>
      <s:c r="D3" s="44"/>
      <s:c r="E3" s="44"/>
      <s:c r="F3" s="44"/>
      <s:c r="G3" s="44"/>
      <s:c r="H3" s="44"/>
      <s:c r="I3" s="44"/>
      <s:c r="J3" s="44"/>
      <s:c r="K3" s="44"/>
      <s:c r="L3" s="44"/>
      <s:c r="M3" s="44"/>
      <s:c r="N3" s="44"/>
      <s:c r="O3" s="44"/>
      <s:c r="P3" s="44"/>
      <s:c r="Q3" s="44"/>
      <s:c r="R3" s="44"/>
      <s:c r="S3" s="44"/>
      <s:c r="T3" s="44"/>
      <s:c r="U3" s="44"/>
      <s:c r="V3" s="44"/>
      <s:c r="W3" s="44"/>
      <s:c r="X3" s="44"/>
      <s:c r="Y3" s="44"/>
      <s:c r="Z3" s="44"/>
    </s:row>
    <s:row r="4">
      <s:c r="B4" s="9" t="s">
        <s:v>136</s:v>
      </s:c>
      <s:c r="C4" s="43"/>
    </s:row>
    <s:row r="6">
      <s:c r="C6" s="43"/>
    </s:row>
    <s:row r="8">
      <s:c r="C8" s="9" t="s">
        <s:v>137</s:v>
      </s:c>
      <s:c r="F8" s="9" t="s">
        <s:v>138</s:v>
      </s:c>
    </s:row>
    <s:row r="12">
      <s:c r="F12" s="9" t="s">
        <s:v>139</s:v>
      </s:c>
      <s:c r="G12" s="9" t="s">
        <s:v>140</s:v>
      </s:c>
      <s:c r="H12" s="9" t="s">
        <s:v>141</s:v>
      </s:c>
      <s:c r="I12" s="9" t="s">
        <s:v>142</s:v>
      </s:c>
      <s:c r="J12" s="9" t="s">
        <s:v>143</s:v>
      </s:c>
      <s:c r="K12" s="9" t="s">
        <s:v>144</s:v>
      </s:c>
      <s:c r="L12" s="9" t="s">
        <s:v>119</s:v>
      </s:c>
      <s:c r="M12" s="9" t="s">
        <s:v>145</s:v>
      </s:c>
    </s:row>
    <s:row r="13">
      <s:c r="E13" s="9" t="s">
        <s:v>133</s:v>
      </s:c>
      <s:c r="F13" s="45">
        <s:v>0.1</s:v>
      </s:c>
      <s:c r="G13" s="9">
        <s:v>1000.0</s:v>
      </s:c>
      <s:c r="H13" s="9">
        <s:v>91.0</s:v>
      </s:c>
      <s:c r="I13" s="45">
        <s:v>0.03</s:v>
      </s:c>
      <s:c r="J13" s="9">
        <s:f validation_="true">G13*I13</s:f>
        <s:v>30</s:v>
      </s:c>
      <s:c r="L13" s="9">
        <s:f validation_="true">G13*H13</s:f>
        <s:v>91000</s:v>
      </s:c>
      <s:c r="M13" s="9">
        <s:f validation_="true">L13/J13</s:f>
        <s:v>3033.333333</s:v>
      </s:c>
    </s:row>
    <s:row r="14">
      <s:c r="E14" s="9" t="s">
        <s:v>135</s:v>
      </s:c>
      <s:c r="F14" s="45">
        <s:v>0.08</s:v>
      </s:c>
      <s:c r="G14" s="9">
        <s:v>800.0</s:v>
      </s:c>
      <s:c r="H14" s="9">
        <s:v>99.0</s:v>
      </s:c>
      <s:c r="I14" s="26">
        <s:v>0.044</s:v>
      </s:c>
      <s:c r="J14" s="9">
        <s:f validation_="true">G14*I14</s:f>
        <s:v>35.2</s:v>
      </s:c>
      <s:c r="L14" s="9">
        <s:f validation_="true">G14*H14</s:f>
        <s:v>79200</s:v>
      </s:c>
      <s:c r="M14" s="9">
        <s:f validation_="true">L14/J14</s:f>
        <s:v>2250</s:v>
      </s:c>
    </s:row>
    <s:row r="18">
      <s:c r="I18" s="12" t="s">
        <s:v>146</s:v>
      </s:c>
    </s:row>
  </s:sheetData>
</s:worksheet>
</file>