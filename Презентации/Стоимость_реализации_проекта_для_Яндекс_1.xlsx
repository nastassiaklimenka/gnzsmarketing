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Генезис\Marketing\gnzsmarketing\Презентации\"/>
    </mc:Choice>
  </mc:AlternateContent>
  <xr:revisionPtr revIDLastSave="0" documentId="8_{80112441-D3E6-4AD9-8B43-F968AACF76A1}" xr6:coauthVersionLast="47" xr6:coauthVersionMax="47" xr10:uidLastSave="{00000000-0000-0000-0000-000000000000}"/>
  <bookViews>
    <workbookView xWindow="1080" yWindow="1080" windowWidth="21108" windowHeight="10368" activeTab="2" xr2:uid="{00000000-000D-0000-FFFF-FFFF00000000}"/>
  </bookViews>
  <sheets>
    <sheet name="Лицензии amoCRM" sheetId="1" r:id="rId1"/>
    <sheet name="Лицензии виджеты" sheetId="2" r:id="rId2"/>
    <sheet name="Настройка amoCRM" sheetId="3" r:id="rId3"/>
    <sheet name="Разработка решений" sheetId="4" r:id="rId4"/>
    <sheet name="Настройка Аналитики Datalens" sheetId="5" r:id="rId5"/>
    <sheet name="Геоаналитика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8" i="2" l="1"/>
  <c r="G8" i="2"/>
  <c r="AF8" i="1"/>
  <c r="AC8" i="1"/>
  <c r="Z8" i="1"/>
  <c r="W8" i="1"/>
  <c r="S8" i="1"/>
  <c r="P8" i="1"/>
  <c r="M8" i="1"/>
  <c r="J8" i="1"/>
  <c r="AF7" i="1"/>
  <c r="AC7" i="1"/>
  <c r="Z7" i="1"/>
  <c r="W7" i="1"/>
  <c r="S7" i="1"/>
  <c r="P7" i="1"/>
  <c r="M7" i="1"/>
  <c r="J7" i="1"/>
  <c r="AF6" i="1"/>
  <c r="AC6" i="1"/>
  <c r="Z6" i="1"/>
  <c r="W6" i="1"/>
  <c r="S6" i="1"/>
  <c r="P6" i="1"/>
  <c r="M6" i="1"/>
  <c r="J6" i="1"/>
  <c r="AF5" i="1"/>
  <c r="AC5" i="1"/>
  <c r="Z5" i="1"/>
  <c r="W5" i="1"/>
  <c r="S5" i="1"/>
  <c r="P5" i="1"/>
  <c r="M5" i="1"/>
  <c r="J5" i="1"/>
  <c r="AF3" i="1"/>
  <c r="AC3" i="1"/>
  <c r="Z3" i="1"/>
  <c r="W3" i="1"/>
  <c r="S3" i="1"/>
  <c r="P3" i="1"/>
  <c r="M3" i="1"/>
  <c r="J3" i="1"/>
  <c r="AF2" i="1"/>
  <c r="AF9" i="1" s="1"/>
  <c r="AC2" i="1"/>
  <c r="AC9" i="1" s="1"/>
  <c r="Z2" i="1"/>
  <c r="Z9" i="1" s="1"/>
  <c r="W2" i="1"/>
  <c r="W9" i="1" s="1"/>
  <c r="S2" i="1"/>
  <c r="S9" i="1" s="1"/>
  <c r="P2" i="1"/>
  <c r="P9" i="1" s="1"/>
  <c r="M2" i="1"/>
  <c r="M9" i="1" s="1"/>
  <c r="J2" i="1"/>
  <c r="J9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tc={4A9AE7E1-0D06-4638-9997-E745F48186E6}</author>
  </authors>
  <commentList>
    <comment ref="H2" authorId="0" shapeId="0" xr:uid="{4A9AE7E1-0D06-4638-9997-E745F48186E6}">
      <text>
        <t>[Цепочка примечаний]
Ваша версия Excel позволяет прочитать эту цепочку примечаний, но если открыть файл в более поздней версии Excel, все внесенные в нее изменения будут удалены. Подробнее: https://go.microsoft.com/fwlink/?linkid=870924
Комментарий:
    Выдадим бесплатно как бонус за счет покупки лицензий amoCRM через Генезис</t>
      </text>
    </comment>
  </commentList>
</comments>
</file>

<file path=xl/sharedStrings.xml><?xml version="1.0" encoding="utf-8"?>
<sst xmlns="http://schemas.openxmlformats.org/spreadsheetml/2006/main" count="559" uniqueCount="260">
  <si>
    <t>Сервис / Проект</t>
  </si>
  <si>
    <t>ID аккаунта</t>
  </si>
  <si>
    <t>Тариф</t>
  </si>
  <si>
    <t>Срок действия</t>
  </si>
  <si>
    <t>Яндекс.Недвижимость - Подбор</t>
  </si>
  <si>
    <t>Профессиональный</t>
  </si>
  <si>
    <t>Яндекс.Путешествия</t>
  </si>
  <si>
    <t>Яндекс.Недвижимость - Клиенты</t>
  </si>
  <si>
    <t>Яндекс.Аренда</t>
  </si>
  <si>
    <t>auto.ru - войстаргет</t>
  </si>
  <si>
    <t>СМЕ</t>
  </si>
  <si>
    <t>Кол-во лицензий запрашиваемое</t>
  </si>
  <si>
    <t>Кол-во лицензий фактическое</t>
  </si>
  <si>
    <t>Расширенный (до 01.06.21)</t>
  </si>
  <si>
    <t>Расширенный (999)</t>
  </si>
  <si>
    <t>Лицензионный платеж на 6+1 мес</t>
  </si>
  <si>
    <t>Лицензионный платеж на 8+2 мес</t>
  </si>
  <si>
    <t>Лицензионный платеж на 10+3 мес</t>
  </si>
  <si>
    <t>№</t>
  </si>
  <si>
    <t>Наименование</t>
  </si>
  <si>
    <t>Лицензионный платеж на 18+7мес</t>
  </si>
  <si>
    <t>Дополнительные опции (подключены)</t>
  </si>
  <si>
    <t>“Супер поля”</t>
  </si>
  <si>
    <t>Описание</t>
  </si>
  <si>
    <t>Ссылка на виджет</t>
  </si>
  <si>
    <t>Стоимость, руб</t>
  </si>
  <si>
    <t xml:space="preserve">Бонус за лицензии </t>
  </si>
  <si>
    <t>20 ГБ файлового пространства</t>
  </si>
  <si>
    <t>✅</t>
  </si>
  <si>
    <t>10 ГБ файлового пространства</t>
  </si>
  <si>
    <t>Аренда
ID аккаунта 28883080</t>
  </si>
  <si>
    <t>Путешествия
ID аккаунта 31061678</t>
  </si>
  <si>
    <t>Экономия с нами</t>
  </si>
  <si>
    <t>Распределение сделок</t>
  </si>
  <si>
    <t>-</t>
  </si>
  <si>
    <t>Телефония UIS</t>
  </si>
  <si>
    <t>Стоимость доп. опции на 6+1 мес</t>
  </si>
  <si>
    <t>Стоимость доп. опции на 8+2 мес</t>
  </si>
  <si>
    <t>Стоимость доп. опции на 10+3 мес</t>
  </si>
  <si>
    <t>Стоимость доп. опции на 18+7мес</t>
  </si>
  <si>
    <t>Разработка интеграции со СПАРК</t>
  </si>
  <si>
    <t>Лицензии интеграции со СПАРК</t>
  </si>
  <si>
    <t xml:space="preserve">Интеграция Dadata </t>
  </si>
  <si>
    <t>Общая стоимость на 6+1 мес</t>
  </si>
  <si>
    <t>Общая стоимость на 8+2 мес</t>
  </si>
  <si>
    <t>Время клиента</t>
  </si>
  <si>
    <t>Общая стоимость на 10+3 мес</t>
  </si>
  <si>
    <t>Общая стоимость на 18+7мес</t>
  </si>
  <si>
    <t>Маска номера и поиск дублей</t>
  </si>
  <si>
    <t>Прометей конструктор бизнес-процессов</t>
  </si>
  <si>
    <t>Sensei конструктор бизнес-процессов</t>
  </si>
  <si>
    <t>Разработка и настройка кастомной интеграции по объединению дублей контактов, включая обработку исторических дублей и мониторинг логов</t>
  </si>
  <si>
    <t>Разработка Виджета «Панель активности менеджеров»: разработка, тестирование, установка, ретроспективный сбор данных о событиях</t>
  </si>
  <si>
    <t>Разработка Виджета «Выбор менеджера в кастомных полях»: разработка и тестирование</t>
  </si>
  <si>
    <t>Разработка Кастомного экспорта данных из amoCRM</t>
  </si>
  <si>
    <t>Итоговая стоимость</t>
  </si>
  <si>
    <t>Настройка функций amoCRM и виджетов</t>
  </si>
  <si>
    <t>Тестирование настроенных функций amoCRM и виджетов</t>
  </si>
  <si>
    <t>Сопровождение и поддержка</t>
  </si>
  <si>
    <t xml:space="preserve">Наименование этапа работ </t>
  </si>
  <si>
    <t>Сроки</t>
  </si>
  <si>
    <t>Анализ</t>
  </si>
  <si>
    <t>Результат</t>
  </si>
  <si>
    <t>На этапе анализа проводится сбор и уточнение требований заказчика, выявляются цели, ограничения и сценарии работы системы.
Результатом этапа становится структурированный каталог процессов, согласованный список требований и понимание границ проекта.</t>
  </si>
  <si>
    <t>На этапе проектирования формируется целевая модель решения и детальная спецификация реализации.
Результатом этапа становятся BPMN 2.0-схемы, спецификация, перечень задач на настройку и предварительная оценка сроков выполнения.</t>
  </si>
  <si>
    <t>Проектирование</t>
  </si>
  <si>
    <t>Разработчик</t>
  </si>
  <si>
    <t>Настроенные функции и виджеты amoCRM проверены, выявленные ошибки зафиксированы и устранены, работоспособность решения подтверждена.</t>
  </si>
  <si>
    <t>Генезис</t>
  </si>
  <si>
    <t>Тестирование настроенных функций amoCRM и виджетов на корректность и стабильность работы.</t>
  </si>
  <si>
    <t>https://gnzs.ru/widgets/google-tables</t>
  </si>
  <si>
    <t>Наименование решения</t>
  </si>
  <si>
    <t>Сотрудники обучены работе в системе, освоили основные сценарии использования и начали применять настроенные процессы в ежедневной работе.</t>
  </si>
  <si>
    <t>Осуществляется сопровождение настроенной amoCRM, консультационная поддержка пользователей, контроль корректности работы процессов и оперативное устранение возникающих вопросов.</t>
  </si>
  <si>
    <t>Обеспечена стабильная работа системы, пользователи получают поддержку, а возникающие ошибки и вопросы решаются в рабочем порядке.</t>
  </si>
  <si>
    <t>Стоимость, рос руб</t>
  </si>
  <si>
    <t>Другие сделки контактов</t>
  </si>
  <si>
    <t>https://gnzs.ru/widgets/drugie-sdelki-kontaktov</t>
  </si>
  <si>
    <t>Запрет смены этапа</t>
  </si>
  <si>
    <t>https://gnzs.ru/widgets/disable-change-status</t>
  </si>
  <si>
    <t>https://gnzs.ru/widgets/objedinenie-dublej</t>
  </si>
  <si>
    <t>Поиск и объединение дублей</t>
  </si>
  <si>
    <t>Позволяет минимизировать дубли сделок</t>
  </si>
  <si>
    <t>https://gnzs.ru/widgets/cvet-zadach</t>
  </si>
  <si>
    <r>
      <rPr>
        <sz val="10"/>
        <color rgb="FF000000"/>
        <rFont val="Arimo"/>
        <scheme val="minor"/>
      </rPr>
      <t>Экспорт в Google-таблицы</t>
    </r>
  </si>
  <si>
    <r>
      <rPr>
        <sz val="10"/>
        <color rgb="FF000000"/>
        <rFont val="Arimo"/>
        <scheme val="minor"/>
      </rPr>
      <t>Цветные задачи</t>
    </r>
  </si>
  <si>
    <t>Дает возможность менеджеру подсветить важную задачу в сделке. Позволяет выделять задачи в amoCRM разными цветами для удобной классификации и быстрого поиска.</t>
  </si>
  <si>
    <t xml:space="preserve">Важно: работы по настройке и доработке системы рассчитываются в рамках одного аккаунта. Если в дальнейшем потребуется выполнение аналогичных работ для другого аккаунта, они оплачиваются отдельно и в полном объеме, как для нового проекта. (например для Недвижимости и Путешествий если необходимо аналогичные работы производить, то будет расцениваться каждое направление как новый проект)
конечно если уже за основу можно взять проведенный анализ по одному из направлений и нужно сделать копию настройки то будем индивидуальный перерасчет проекта после синхронизации со стейкхолдерами и теми кто предоставляет требования. </t>
  </si>
  <si>
    <t>12 мес</t>
  </si>
  <si>
    <t>Бессрочно</t>
  </si>
  <si>
    <t>готовая спецификации, BPMN 2.0, перечня задач на настройку и оценки сроков реализации.</t>
  </si>
  <si>
    <t>до 10 рабочих дней</t>
  </si>
  <si>
    <t>до 15 рабочих дней</t>
  </si>
  <si>
    <t>https://gnzs.ru/widgets/prometei</t>
  </si>
  <si>
    <t>https://gnzs.ru/widgets/raspredelenie-sdelok</t>
  </si>
  <si>
    <t>от 21 до 63 рабочих дней</t>
  </si>
  <si>
    <t>Виджет автоматически распределяет сделки из цифровой воронки между менеджерами на основании выставленных условий. Распределение может производиться по принципу очереди, учетом текущей загрузки сотрудников, на основании графика и т.д.</t>
  </si>
  <si>
    <t xml:space="preserve">до 10 рабочих дней </t>
  </si>
  <si>
    <t>Адаптация сотрудников</t>
  </si>
  <si>
    <r>
      <rPr>
        <sz val="10"/>
        <color rgb="FF000000"/>
        <rFont val="Arimo"/>
        <scheme val="minor"/>
      </rPr>
      <t>Комплексное обучение</t>
    </r>
  </si>
  <si>
    <t>Отображайте актуальное время клиента прямо в карточке контакта. Виджет автоматически определяет часовой пояс по номеру телефона.</t>
  </si>
  <si>
    <t>https://gnzs.ru/widgets/vremya-klienta</t>
  </si>
  <si>
    <t>представляет собой более углубленный формат, включающий изучение теории, тестирование и выполнение практических заданий. Этот подход базируется на теоретическом обучении с проверкой знаний, но дополнительно включает два практических задания (средней и повышенной сложности). В рамках этих заданий сотрудники заказчика должны самостоятельно выполнить процессы, требуемые для использования новых функций или инструментов, опираясь на предоставленные сценарии и примеры. После завершения теста и практических заданий бизнес-аналитик (ментор) проводит две встречи: первая посвящена анализу ошибок, выявленных в тесте, а вторая — разбору ошибок в практических заданиях. На этих встречах происходит индивидуальная работа с участниками, направленная на устранение недостатков и закрепление полученных знаний. При комплексном обучении для каждого источника, воронки или виджета формируется отдельный урок, включающий видео, статьи, тесты и практические задания. Однако если речь идет, например, о мессенджерах Telegram и WhatsApp, то нет необходимости разбивать обучение на разные уроки. В таком случае создается единый урок, охватывающий процесс получения заявок из этих источников и их обработку в каналах коммуникации.</t>
  </si>
  <si>
    <t>https://gnzs.ru/widgets/maska-nomera-dublikaty</t>
  </si>
  <si>
    <t xml:space="preserve">до 21 рабочего дня </t>
  </si>
  <si>
    <t>Автоматизация проверки на дубли телефонов и email'ов для точной базы клиентов в amoCRM.</t>
  </si>
  <si>
    <t>Telegram бот+ групповые чаты</t>
  </si>
  <si>
    <t>https://gnzs.ru/widgets/integracia-s-telegram-bot</t>
  </si>
  <si>
    <t>Управление коммуникацией через Telegram-ботов прямо в amoCRM</t>
  </si>
  <si>
    <t>от 21 рабочего дня до 63 рабочих дней</t>
  </si>
  <si>
    <t>Telegram Personal</t>
  </si>
  <si>
    <t>Построение микропроцессов в BPM Sensei: контроль недозвонов, отказов, упущений, диспаритетаАвтоматизация продуктовых воронокНастройка автоматического распределения и перераспределения сделок между сотрудникамиРазработка и настройка логики макросов в amoCRMНастройка системы приоритезации задач с визуальными правилами выделения KPI-задачНастройка цветного SLA и внесение кастомных корректировокПроектирование и запуск процесса Sensei для отдела входящих заявок (телефония)
точная стоимость может быть определена после этапа анализа и проектирования</t>
  </si>
  <si>
    <t>Коммуникация с клиентами в привычном мессенджере, не выходя из интерфейса CRM.</t>
  </si>
  <si>
    <t>https://gnzs.ru/widgets/integracia-s-telegram</t>
  </si>
  <si>
    <t>Telegram Уведомления</t>
  </si>
  <si>
    <t>Получение важных событий прямо в чат телеграма, с возомжностью добавления интерактивных кнопок для последующих запусков процесса. Служит для ускорения обработки заявок и повышения эффективности работы команды.</t>
  </si>
  <si>
    <t>https://gnzs.ru/widgets/telegram-notifications</t>
  </si>
  <si>
    <t>Max Personal</t>
  </si>
  <si>
    <t>Max бот</t>
  </si>
  <si>
    <t>Сбор требований от заказчика и ключевых пользователей.Анализ текущих бизнес-процессов.Выявление проблем, разрывов и зон автоматизации.Формирование каталога процессов и функциональных блоков.Согласование приоритетов и границ реализации.
будет расписан процесс от А до Я "как есть"
учтены все пожелания в письменном виде для процесса to be 
выявлены проблемные зоны
сформированы рекомендации бизнес-аналитика как модернизоровать процесс на основании проблемных зон
сформулирован образ решения</t>
  </si>
  <si>
    <t>Max Уведомления</t>
  </si>
  <si>
    <t>Получение важных событий прямо в чат макс, с возомжностью добавления интерактивных кнопок для последующих запусков процесса. Служит для ускорения обработки заявок и повышения эффективности работы команды.</t>
  </si>
  <si>
    <t>https://gnzs.ru/widgets/max-notifications</t>
  </si>
  <si>
    <t>Управление коммуникацией через Max-ботов прямо в amoCRM</t>
  </si>
  <si>
    <t>https://gnzs.ru/widgets/max-messenger</t>
  </si>
  <si>
    <t>https://gnzs.ru/widgets/max-personal</t>
  </si>
  <si>
    <t>https://gnzs.ru/widgets/zadachi-pri-vhodyashih-soobsheniyah</t>
  </si>
  <si>
    <t>Задачи при входящих сообщениях</t>
  </si>
  <si>
    <t>Виджет автоматически создает задачи на ответственного менеджера при поступлении новых сообщений в чате</t>
  </si>
  <si>
    <t xml:space="preserve">от 519 750 до 1 559 250 </t>
  </si>
  <si>
    <t>Настроены и запущены автоматизированные микропроцессы и правила распределения в amoCRM для контроля входящих обращений, недозвонов, отказов и упущенных лидов, а также для приоритезации задач, применения SLA-логики и автоматизации работы отдела продаж через Sensei либо аналог Прометей
Автоматическое определение и фиксация часового пояса в сделках, контактах и компанияхАвтоматическая дедупликация в воронках по номеру телефона, адресу, пермалинкуРазработка и настройка кастомной интеграции по объединению дублей контактов, включая обработку исторических дублей и мониторинг логов
Развёртка инфраструктуры для триггерных коммуникацийПодготовка триггерных цепочек взаимодействий с клиентами
Настройка виджетов запрашиваемых для проекта и обозначенных в рамках документации
Настройка прочих непредусмотренных виджетов и требований</t>
  </si>
  <si>
    <t>Поддержка после обучения☐ Создание канала для вопросов: Организовать чат или форум, где сотрудники могут задавать вопросы и получать ответы.☐ Регулярные встречи: Планировать встречи для обсуждения возникших вопросов и проблем.Обратная связь☐ Сбор отзывов: Регулярно собирать обратную связь о процессе обучения и использовании системы.☐ Анализ результатов: Оценить уровень знаний сотрудников после обучения и выявить области, требующие дополнительного внимания.Корректировка процесса☐ Обновление материалов: Вносить изменения в учебные материалы на основе полученной обратной связи.☐ Индивидуальные сессии: Предоставить возможность для дополнительных индивидуальных занятий для тех, кто испытывает трудности.Мониторинг адаптации☐ Отслеживание активности: Использовать аналитические инструменты для отслеживания активности сотрудников в amoCRM.☐ Регулярные отчеты: Создавать отчеты о прогрессе сотрудников и передавать их руководству.Поддержание мотивации☐ Публичное признание успехов: Признавать и отмечать достижения сотрудников в освоении системы.
Стоимость зависит от количества человек задействованных в адаптации</t>
  </si>
  <si>
    <t>После обучения сотрудники получили канал для консультаций и регулярную поддержку, был организован сбор обратной связи, проведен анализ уровня освоения системы, внесены корректировки в учебные материалы и при необходимости проведены дополнительные индивидуальные сессии. Обеспечен мониторинг адаптации пользователей в amoCRM и предоставление отчетности руководству.</t>
  </si>
  <si>
    <t>1 пользователь = 25 000 (8 часов на 1 сотрудника)</t>
  </si>
  <si>
    <t>Отображает сделки дубликаты по контакту, также позволяет быстро получать доступ к полной истории взаимодействий и улучшает контроль над процессами.</t>
  </si>
  <si>
    <t>Уровень важности этапа</t>
  </si>
  <si>
    <t>Позволяет запретить перевод на определенные статусы, пока сделка не пройдет по целевому флоу. Гибкая настройка условий запрета.</t>
  </si>
  <si>
    <t>Обязательно</t>
  </si>
  <si>
    <t>Желательно</t>
  </si>
  <si>
    <t xml:space="preserve">Желательно </t>
  </si>
  <si>
    <t xml:space="preserve">Необязательно </t>
  </si>
  <si>
    <t>Объединение дубликатов контактов и компаний в amoCRM, используя любые поля для проверки.</t>
  </si>
  <si>
    <t>199 000 до 40 пользователей
4 000 за каждого доп пользователя сверх 40</t>
  </si>
  <si>
    <t>BPM-платформа для автоматизации бизнес-процессов в amoCRM, которая позволяет настраивать автоматизированные сценарии для сотрудников в соответствии с внутренними процессами и регламентами компании. Решение поддерживает сложную логику, работу с параметрами, webhook, задачами, этапами и другими действиями, помогая автоматизировать работу менеджеров в единой системе. Больше возможностей (в сравнении с аналогичными сервисами), без потери скорости обработки и в разы вдешевле, за счет новых технологий.</t>
  </si>
  <si>
    <t>Название решения</t>
  </si>
  <si>
    <t>Стоимость ТЗ</t>
  </si>
  <si>
    <t>Стоимость разработки</t>
  </si>
  <si>
    <t>Срок разработки</t>
  </si>
  <si>
    <t>Готовая альтернатива</t>
  </si>
  <si>
    <t>Срок действия / подписка</t>
  </si>
  <si>
    <t>Что умеет виджет</t>
  </si>
  <si>
    <t>Комментарий</t>
  </si>
  <si>
    <t>Интеграция WABA (WhatsApp Business API) | BlaBlaChat</t>
  </si>
  <si>
    <t>Коммуникация с клиентами в привычном мессенджере, не выходя из интерфейса CRM. Корпоративный WhatsApp</t>
  </si>
  <si>
    <t>https://bbchat.ru/</t>
  </si>
  <si>
    <t>BPM-платформа для автоматизации бизнес-процессов, настройка автоматизизоварнных сценариев для сотрудников на основании внутернних регламентов.</t>
  </si>
  <si>
    <t>https://sensei.plus/product</t>
  </si>
  <si>
    <t>Сенсей</t>
  </si>
  <si>
    <t>Автоматическое заполнение реквизитов компании по ИНН</t>
  </si>
  <si>
    <t>Задача</t>
  </si>
  <si>
    <t>виджет автоматически подтягивает и заполняет реквизиты компании и банка в amoCRM по данным DaData</t>
  </si>
  <si>
    <t>Стоимость виджета на 1 аккаунт</t>
  </si>
  <si>
    <t>Срок</t>
  </si>
  <si>
    <t>Может быть выдан в бонусом</t>
  </si>
  <si>
    <t>Автозаполнение реквизитов DaData в amoCRM</t>
  </si>
  <si>
    <t>до 3х мес</t>
  </si>
  <si>
    <t>Недвижимость
ID аккаунта 29550703 и 30299257</t>
  </si>
  <si>
    <t>до 2х мес.</t>
  </si>
  <si>
    <t xml:space="preserve">Поиск и объединение дублей
</t>
  </si>
  <si>
    <t>Аккаунт 29550703  - 200 пользователей - 
1 917 600,00₽
Аккаунт 30299257 - 60 пользователей - 
575 280,00₽</t>
  </si>
  <si>
    <t>Автоматически проверяет новые карточки на наличие дублей.gnzsИщет дубли по телефону, email и пользовательским полям.gnzs+1Показывает найденные совпадения в модальном окне.gnzsПозволяет объединить найденные карточки в одну сущность.gnzsДает возможность выбрать, какие значения полей сохранятся в итоговой записи.gnzsПозволяет запускать ручной поиск дублей из списка.</t>
  </si>
  <si>
    <t>Готовый виджет, если задача стоит только в том, чтобы подтягивать реквизиты по ИНН то можно рассмотреть данное решение. 
Неограниченное количество подсказок, стандартизация данных, работает внутри карточек сущностей</t>
  </si>
  <si>
    <t>https://gnzs.ru/widgets/avtozapolnenie-rekvizitov-dadata</t>
  </si>
  <si>
    <t>https://www.uiscom.ru/</t>
  </si>
  <si>
    <t>Предполагаем допущение в необходимости. Виртуальная АТС</t>
  </si>
  <si>
    <t>UIS</t>
  </si>
  <si>
    <t>до 1го мес.</t>
  </si>
  <si>
    <t xml:space="preserve">до 2х мес. </t>
  </si>
  <si>
    <t>Интеграция с amoCRM - 0,00₽
Тарифный план BATC PRO</t>
  </si>
  <si>
    <t>1 канал - 36 000,00₽</t>
  </si>
  <si>
    <t>Вариант 1. DataLens на базе Google Sheets</t>
  </si>
  <si>
    <t>1 канал - 38 000,00₽</t>
  </si>
  <si>
    <t>1 канал - 29 000,00₽</t>
  </si>
  <si>
    <t>Позволяет получать данные по юридическим и физическим лицам, а также их деятельности из базы сервиса проверки контрагентов СПАРК</t>
  </si>
  <si>
    <t>Наименование этапа работ</t>
  </si>
  <si>
    <t>Стоимость, рос. руб.</t>
  </si>
  <si>
    <t>Сформированы цели аналитики, перечень показателей, фильтров и источников данных</t>
  </si>
  <si>
    <t>Подготовлена структура таблиц, логика передачи данных и модель будущих дашбордов</t>
  </si>
  <si>
    <t>Формирование структуры таблиц, логики передачи данных из amoCRM в Google Sheets, модели показателей и будущих дашбордов в DataLens. Определяются поля, справочники, правила обновления и связи между листами для корректной визуализации.</t>
  </si>
  <si>
    <t>Настройка передачи данных</t>
  </si>
  <si>
    <t>Настроена выгрузка данных из amoCRM в Google Sheets и подготовлен источник для DataLens</t>
  </si>
  <si>
    <t>Настройка выгрузки данных из amoCRM в Google Sheets и подготовка таблиц для подключения к DataLens. При необходимости задаются дополнительные формулы, маппинг полей и обновление данных по расписанию.</t>
  </si>
  <si>
    <t>Настройка дашбордов DataLens</t>
  </si>
  <si>
    <t>Созданы датасеты, метрики, фильтры и визуализации</t>
  </si>
  <si>
    <t>Создание датасетов, метрик, фильтров и визуализаций на базе Google Sheets. На этом этапе строятся отчеты, графики и сводные панели для управленческого анализа.</t>
  </si>
  <si>
    <t>Тестирование</t>
  </si>
  <si>
    <t>Проверена корректность загрузки, расчетов и отображения данных</t>
  </si>
  <si>
    <t>Проверка корректности загрузки данных, работы фильтров, отображения показателей и актуальности обновления. Выявляются ошибки в структуре таблиц, связях и визуализациях, после чего выполняются доработки.</t>
  </si>
  <si>
    <t>Обучение</t>
  </si>
  <si>
    <t>Пользователи обучены работе с дашбордами и аналитикой</t>
  </si>
  <si>
    <t>Обучение пользователей работе с дашбордами, фильтрами и логикой интерпретации показателей. Показываются правила работы с источниками, обновлением данных и базовыми сценариями анализа.</t>
  </si>
  <si>
    <t>Обеспечена поддержка после запуска и возможность развития аналитики</t>
  </si>
  <si>
    <t>Поддержка после запуска, корректировка дашбордов, обновление структуры показателей и помощь при изменениях в данных. Этап особенно важен, если список метрик и фильтров будет расширяться после старта.</t>
  </si>
  <si>
    <t>Вариант 2. DataLens на базе базы данных</t>
  </si>
  <si>
    <t>Сформированы требования к аналитике, хранению данных и историчности</t>
  </si>
  <si>
    <t>Сбор требований к аналитике, показателям, фильтрам и структуре хранения данных из amoCRM в отдельной базе. Определяются сценарии аналитики и требования к историчности, детализации и обновлению данных.</t>
  </si>
  <si>
    <t>Подготовлена архитектура базы, витрин и справочников</t>
  </si>
  <si>
    <t>Проработка структуры базы данных, витрин, справочников и логики передачи данных в DataLens. На этом этапе формируется архитектура хранения, чтобы аналитика не зависела от ограничений Google Sheets.</t>
  </si>
  <si>
    <t>Настройка интеграции и БД</t>
  </si>
  <si>
    <t>Настроена выгрузка данных в базу и подготовлен источник для DataLens</t>
  </si>
  <si>
    <t>Настройка выгрузки данных из amoCRM в базу данных, создание таблиц, связей и подготовка источника под DataLens. При необходимости строится промежуточный слой для очистки, нормализации и обогащения данных.</t>
  </si>
  <si>
    <t>Созданы аналитические панели на основе базы данных</t>
  </si>
  <si>
    <t>Создание датасетов и аналитических панелей на основе базы данных, настройка фильтров, показателей и визуализаций. Такой вариант лучше подходит, если данных много, нужны сложные связи или долгосрочная аналитика.</t>
  </si>
  <si>
    <t>Проверена корректность передачи, расчетов и связей</t>
  </si>
  <si>
    <t>Проверка корректности передачи данных, обновления витрин, расчетов показателей и логики фильтров. Отдельно проверяется согласованность данных между amoCRM, базой и DataLens.</t>
  </si>
  <si>
    <t>Пользователи обучены работе с аналитикой и принципами обновления данных</t>
  </si>
  <si>
    <t>Обучение пользователей работе с аналитикой, дашбордами и принципами обновления данных. При необходимости показывается, как пользоваться фильтрами и интерпретировать показатели в зависимости от ролей сотрудников.</t>
  </si>
  <si>
    <t>Обеспечена поддержка дашбордов, базы данных и аналитических моделей</t>
  </si>
  <si>
    <t>Поддержка дашбордов, базы данных и аналитических моделей после запуска. На этом этапе можно добавлять новые показатели, фильтры и дополнительные срезы без перестройки всей системы.</t>
  </si>
  <si>
    <t>1 бот- 7 680,00₽</t>
  </si>
  <si>
    <t>5 рабочих дней</t>
  </si>
  <si>
    <t>7 рабочих дней</t>
  </si>
  <si>
    <t>10 рабочих дней</t>
  </si>
  <si>
    <t>Сбор и уточнение требований к аналитике, определение целей дашбордов, перечня показателей, фильтров и источников данных. Фиксируется, какие данные из amoCRM будут храниться для аналитики и в каком виде они должны попадать в Google Sheets.</t>
  </si>
  <si>
    <t>По договоренности</t>
  </si>
  <si>
    <t>69 000 в месяц (20 часов работы аналитика)</t>
  </si>
  <si>
    <t>69000 (ежемесячно за 20 часов работы бизнес-аналитика)</t>
  </si>
  <si>
    <t>по договоренности</t>
  </si>
  <si>
    <t>Предварительная стоимость (рассчитывается индивидуально на встрече и зависит от запрашиваемого функционала)
Аккаунт 29550703  - 200 пользователей - 
5 000 000,00₽
Аккаунт 30299257 - 60 пользователей - 
1 500 000,00₽</t>
  </si>
  <si>
    <t>15 рабочих дней</t>
  </si>
  <si>
    <t>3 рабочих дня</t>
  </si>
  <si>
    <t>3 рабочих дней</t>
  </si>
  <si>
    <t>❌</t>
  </si>
  <si>
    <t>Сформированы требования к геоаналитике, перечню районов, источникам данных и логике карточек</t>
  </si>
  <si>
    <t>Сбор требований к формату геоаналитики, определение городов РФ, для которых требуется анализ, и перечня районов для включения в работу. На этом этапе фиксируются цели использования геоданных, структура карточек районов, параметры привлекательности и требования к подсказкам для менеджеров.</t>
  </si>
  <si>
    <t>Подготовлена структура данных, логика передачи карт районов и формат карточек</t>
  </si>
  <si>
    <t>Проработка структуры районов по городам, формата передачи геоданных, логики отображения полигонов и состава карточек районов. Определяются требования к mapPolygon, формат хранения и передачи карт, а также структура показателей, которые будут использоваться в аналитике и подсказках.</t>
  </si>
  <si>
    <t>Сбор и подготовка данных</t>
  </si>
  <si>
    <t>Сформирован список районов по городам и подготовлена первичная информация</t>
  </si>
  <si>
    <t>Разработка скрипта сбора первичной информации по районам, формирование и нормализация списка районов, подготовка базы для дальнейшей аналитики и визуализации. При необходимости выполняется сверка названий районов и приведение данных к единому формату.</t>
  </si>
  <si>
    <t>Отрисовка и настройка полигонов</t>
  </si>
  <si>
    <t>Подготовлены и загружены полигоны районов для отображения на карте</t>
  </si>
  <si>
    <t>Отрисовка полигонов районов (mapPolygon) по каждому городу, подготовка геометрии для использования в аналитике и визуализации. При необходимости выполняется проверка корректности границ, тестирование отображения и устранение ошибок в геоданных.</t>
  </si>
  <si>
    <t>Формирование карточек районов</t>
  </si>
  <si>
    <t>Созданы карточки районов с ключевыми параметрами и подсказками</t>
  </si>
  <si>
    <t>Формирование карточек районов с параметрами привлекательности, ключевыми данными, комментариями и подсказками для менеджеров. В карточки включаются важные характеристики района, которые помогают в принятии решений и работе с клиентами.</t>
  </si>
  <si>
    <t>Проверена корректность геоданных, карточек и логики отображения</t>
  </si>
  <si>
    <t>Проверка корректности списка районов, отображения полигонов, работы карточек и соответствия данных требованиям проекта. На этапе тестирования выявляются ошибки в геометрии, структуре карточек и передаче данных, после чего выполняются доработки.</t>
  </si>
  <si>
    <t>Обеспечена поддержка геоданных, карточек и обновлений</t>
  </si>
  <si>
    <t>Поддержка после запуска, корректировка геоданных, обновление списка районов и карточек, помощь при добавлении новых городов и изменении логики отображения. Этап особенно важен, если проект будет масштабироваться на новые города РФ.</t>
  </si>
  <si>
    <t>Прометей</t>
  </si>
  <si>
    <t>Можем на этапе анализа проработать решение на основании конструктора бизнес-процессов</t>
  </si>
  <si>
    <t>Предварительная стоимость (рассчитывается индивидуально на встрече и зависит от запрашиваемого функционала)
Аккаунт 31061678 - 140 пользователей - 
3 500 000,00₽</t>
  </si>
  <si>
    <t xml:space="preserve">Аккаунт 31061678 - 140 пользователей - 
1 342 320,00₽
</t>
  </si>
  <si>
    <t>9 588 за 1 пользователя</t>
  </si>
  <si>
    <t>Оплачивается кэшбэком от лицензии амоСРМ.
Кэшбэк составляет 20% от стоимости.
Кэшбэк составит от 285 432,00₽ до 856 296,00₽</t>
  </si>
  <si>
    <t>Оплачивается кэшбэком от лицензии амоСРМ.
Кэшбэк составляет 20% от стоимости.
Кэшбэк составит от 530 088,00 ₽ до 1 590 264,00₽</t>
  </si>
  <si>
    <r>
      <rPr>
        <sz val="10"/>
        <color rgb="FF000000"/>
        <rFont val="Arimo"/>
        <scheme val="minor"/>
      </rPr>
      <t>Произведение выгрузки информации, на основании заданных условий, по сделкам, контактам и компаниям, для последующего создавания кастомных отчетов, анализа показателей и отслеживания ключевых метрик бизнеса. Позволяет закрывать разные задачи, без дополнительных затрат на разработку.</t>
    </r>
  </si>
  <si>
    <t>Используя Прометей</t>
  </si>
  <si>
    <t>Используя Sensei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</si>
</sst>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.mm\.yyyy"/>
    <numFmt numFmtId="165" formatCode="#,##0.00\ [$₽-419]"/>
  </numFmts>
  <fonts count="24">
    <font>
      <sz val="10"/>
      <color theme="1"/>
      <name val="Arimo"/>
      <family val="2"/>
    </font>
    <font>
      <b/>
      <sz val="14"/>
      <color theme="1"/>
      <name val="Arimo"/>
      <family val="2"/>
    </font>
    <font>
      <sz val="10"/>
      <color rgb="FF000000"/>
      <name val="Arimo"/>
    </font>
    <font>
      <b/>
      <sz val="10"/>
      <name val="Arimo"/>
    </font>
    <font>
      <sz val="10"/>
      <name val="Arial"/>
    </font>
    <font>
      <sz val="10"/>
      <color theme="1"/>
      <name val="Arial"/>
      <family val="2"/>
    </font>
    <font>
      <b/>
      <sz val="10"/>
      <name val="Arial"/>
    </font>
    <font>
      <b/>
      <sz val="10"/>
      <color theme="1"/>
      <name val="Arial"/>
      <family val="2"/>
    </font>
    <font>
      <b/>
      <sz val="10"/>
      <color rgb="FF000000"/>
      <name val="Arial"/>
    </font>
    <font>
      <sz val="10"/>
      <name val="Arial"/>
    </font>
    <font>
      <sz val="10"/>
      <color theme="1"/>
      <name val="Arial"/>
      <family val="2"/>
    </font>
    <font>
      <sz val="10"/>
      <color rgb="FF000000"/>
      <name val="Arial"/>
    </font>
    <font>
      <b/>
      <sz val="11"/>
      <name val="Arial"/>
    </font>
    <font>
      <b/>
      <sz val="11"/>
      <color theme="1"/>
      <name val="Arial"/>
      <family val="2"/>
    </font>
    <font>
      <b/>
      <sz val="10"/>
      <name val="Arial"/>
    </font>
    <font>
      <b/>
      <sz val="14"/>
      <color theme="1"/>
      <name val="Arial"/>
      <family val="2"/>
    </font>
    <font>
      <b/>
      <sz val="12"/>
      <color theme="1"/>
      <name val="Arial"/>
      <family val="2"/>
    </font>
    <font>
      <b/>
      <sz val="14"/>
      <name val="Arial"/>
    </font>
    <font>
      <b/>
      <sz val="14"/>
      <color rgb="FF000000"/>
      <name val="Arial"/>
    </font>
    <font>
      <u/>
      <sz val="10"/>
      <color rgb="FF2F69C7"/>
      <name val="Arial"/>
    </font>
    <font>
      <sz val="10"/>
      <color rgb="FF212529"/>
      <name val="Arial"/>
    </font>
    <font>
      <b/>
      <sz val="12"/>
      <name val="Arial"/>
    </font>
    <font>
      <sz val="9"/>
      <name val="Arimo"/>
    </font>
    <font>
      <sz val="10"/>
      <color rgb="FF000000"/>
      <name val="Arimo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A8DCFF"/>
        <bgColor rgb="FFA8DCFF"/>
      </patternFill>
    </fill>
    <fill>
      <patternFill patternType="solid">
        <fgColor rgb="FFA8DCFF"/>
      </patternFill>
    </fill>
    <fill>
      <patternFill patternType="solid">
        <fgColor rgb="FFFFFFFF"/>
        <bgColor rgb="FFFFFFFF"/>
      </patternFill>
    </fill>
    <fill>
      <patternFill patternType="solid">
        <fgColor rgb="FFD8DCE6"/>
        <bgColor rgb="FFD8DCE6"/>
      </patternFill>
    </fill>
    <fill>
      <patternFill patternType="solid">
        <fgColor rgb="FFFFEDBA"/>
        <bgColor rgb="FFFFEDBA"/>
      </patternFill>
    </fill>
    <fill>
      <patternFill patternType="solid">
        <fgColor rgb="FFFFC40C"/>
        <bgColor rgb="FFFFC40C"/>
      </patternFill>
    </fill>
    <fill>
      <patternFill patternType="solid">
        <fgColor rgb="FFFFE45C"/>
        <bgColor rgb="FFFFE45C"/>
      </patternFill>
    </fill>
    <fill>
      <patternFill patternType="solid">
        <fgColor rgb="FF7EDD9C"/>
        <bgColor rgb="FF7EDD9C"/>
      </patternFill>
    </fill>
    <fill>
      <patternFill patternType="solid">
        <fgColor rgb="FF50CC7B"/>
        <bgColor rgb="FF50CC7B"/>
      </patternFill>
    </fill>
    <fill>
      <patternFill patternType="solid">
        <fgColor rgb="FFF2F2F2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11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5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vertical="center"/>
    </xf>
    <xf numFmtId="0" fontId="9" fillId="0" borderId="1" xfId="0" applyFont="1" applyBorder="1" applyAlignment="1">
      <alignment vertical="center" wrapText="1"/>
    </xf>
    <xf numFmtId="165" fontId="9" fillId="0" borderId="1" xfId="0" applyNumberFormat="1" applyFont="1" applyBorder="1" applyAlignment="1">
      <alignment horizontal="right" vertical="center" wrapText="1"/>
    </xf>
    <xf numFmtId="0" fontId="11" fillId="0" borderId="1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165" fontId="10" fillId="0" borderId="1" xfId="0" applyNumberFormat="1" applyFont="1" applyBorder="1" applyAlignment="1">
      <alignment horizontal="right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5" borderId="0" xfId="0" applyFill="1"/>
    <xf numFmtId="165" fontId="9" fillId="0" borderId="1" xfId="0" applyNumberFormat="1" applyFont="1" applyBorder="1" applyAlignment="1">
      <alignment horizontal="right" vertical="center"/>
    </xf>
    <xf numFmtId="0" fontId="9" fillId="0" borderId="0" xfId="0" applyFont="1" applyAlignment="1">
      <alignment horizontal="right" vertical="center"/>
    </xf>
    <xf numFmtId="0" fontId="0" fillId="8" borderId="0" xfId="0" applyFill="1"/>
    <xf numFmtId="0" fontId="9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right" vertical="center" wrapText="1"/>
    </xf>
    <xf numFmtId="164" fontId="9" fillId="8" borderId="1" xfId="0" applyNumberFormat="1" applyFont="1" applyFill="1" applyBorder="1" applyAlignment="1">
      <alignment horizontal="right" vertical="center" wrapText="1"/>
    </xf>
    <xf numFmtId="0" fontId="9" fillId="8" borderId="1" xfId="0" applyFont="1" applyFill="1" applyBorder="1" applyAlignment="1">
      <alignment vertical="center" wrapText="1"/>
    </xf>
    <xf numFmtId="0" fontId="9" fillId="8" borderId="1" xfId="0" applyFont="1" applyFill="1" applyBorder="1" applyAlignment="1">
      <alignment horizontal="center" vertical="center" wrapText="1"/>
    </xf>
    <xf numFmtId="165" fontId="9" fillId="8" borderId="1" xfId="0" applyNumberFormat="1" applyFont="1" applyFill="1" applyBorder="1" applyAlignment="1">
      <alignment horizontal="right" vertical="center" wrapText="1"/>
    </xf>
    <xf numFmtId="165" fontId="9" fillId="8" borderId="1" xfId="0" applyNumberFormat="1" applyFont="1" applyFill="1" applyBorder="1" applyAlignment="1">
      <alignment horizontal="right" vertical="center"/>
    </xf>
    <xf numFmtId="165" fontId="10" fillId="8" borderId="1" xfId="0" applyNumberFormat="1" applyFont="1" applyFill="1" applyBorder="1" applyAlignment="1">
      <alignment horizontal="right" vertical="center" wrapText="1"/>
    </xf>
    <xf numFmtId="0" fontId="11" fillId="8" borderId="1" xfId="0" applyFont="1" applyFill="1" applyBorder="1" applyAlignment="1">
      <alignment horizontal="left" vertical="center"/>
    </xf>
    <xf numFmtId="0" fontId="7" fillId="8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right" vertical="center" wrapText="1"/>
    </xf>
    <xf numFmtId="164" fontId="9" fillId="0" borderId="1" xfId="0" applyNumberFormat="1" applyFont="1" applyBorder="1" applyAlignment="1">
      <alignment horizontal="right" vertical="center" wrapText="1"/>
    </xf>
    <xf numFmtId="0" fontId="6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0" fontId="6" fillId="7" borderId="1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7" fillId="11" borderId="1" xfId="0" applyFont="1" applyFill="1" applyBorder="1" applyAlignment="1">
      <alignment horizontal="center" vertical="center" wrapText="1"/>
    </xf>
    <xf numFmtId="0" fontId="7" fillId="10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165" fontId="12" fillId="3" borderId="1" xfId="0" applyNumberFormat="1" applyFont="1" applyFill="1" applyBorder="1" applyAlignment="1">
      <alignment vertical="center" wrapText="1"/>
    </xf>
    <xf numFmtId="0" fontId="0" fillId="12" borderId="2" xfId="0" applyFill="1" applyBorder="1" applyAlignment="1">
      <alignment horizontal="left"/>
    </xf>
    <xf numFmtId="0" fontId="0" fillId="12" borderId="2" xfId="0" applyFill="1" applyBorder="1" applyAlignment="1">
      <alignment horizontal="left" wrapText="1"/>
    </xf>
    <xf numFmtId="0" fontId="0" fillId="12" borderId="8" xfId="0" applyFill="1" applyBorder="1" applyAlignment="1">
      <alignment horizontal="left"/>
    </xf>
    <xf numFmtId="0" fontId="0" fillId="12" borderId="8" xfId="0" applyFill="1" applyBorder="1" applyAlignment="1">
      <alignment horizontal="left" wrapText="1"/>
    </xf>
    <xf numFmtId="0" fontId="0" fillId="0" borderId="1" xfId="0" applyBorder="1" applyAlignment="1">
      <alignment vertical="center"/>
    </xf>
    <xf numFmtId="3" fontId="0" fillId="0" borderId="1" xfId="0" applyNumberFormat="1" applyBorder="1" applyAlignment="1">
      <alignment vertical="center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wrapText="1"/>
    </xf>
    <xf numFmtId="3" fontId="0" fillId="0" borderId="2" xfId="0" applyNumberFormat="1" applyBorder="1" applyAlignment="1">
      <alignment horizontal="left"/>
    </xf>
    <xf numFmtId="3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/>
    <xf numFmtId="3" fontId="0" fillId="0" borderId="1" xfId="0" applyNumberFormat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/>
    </xf>
    <xf numFmtId="0" fontId="3" fillId="12" borderId="2" xfId="0" applyFont="1" applyFill="1" applyBorder="1" applyAlignment="1">
      <alignment horizontal="center" wrapText="1"/>
    </xf>
    <xf numFmtId="0" fontId="0" fillId="0" borderId="1" xfId="0" applyBorder="1" applyAlignment="1">
      <alignment horizontal="right" vertical="center"/>
    </xf>
    <xf numFmtId="0" fontId="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0" fontId="11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vertical="center"/>
    </xf>
    <xf numFmtId="165" fontId="14" fillId="0" borderId="1" xfId="0" applyNumberFormat="1" applyFont="1" applyBorder="1" applyAlignment="1">
      <alignment horizontal="center" vertical="center"/>
    </xf>
    <xf numFmtId="165" fontId="17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5" fillId="9" borderId="1" xfId="0" applyFont="1" applyFill="1" applyBorder="1" applyAlignment="1">
      <alignment vertical="center"/>
    </xf>
    <xf numFmtId="0" fontId="5" fillId="9" borderId="1" xfId="0" applyFont="1" applyFill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5" fillId="10" borderId="1" xfId="0" applyFont="1" applyFill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vertical="center"/>
    </xf>
    <xf numFmtId="0" fontId="20" fillId="2" borderId="1" xfId="0" applyFont="1" applyFill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19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/>
    </xf>
    <xf numFmtId="0" fontId="22" fillId="0" borderId="0" xfId="0" applyFont="1"/>
    <xf numFmtId="165" fontId="21" fillId="0" borderId="1" xfId="0" applyNumberFormat="1" applyFont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9" fillId="8" borderId="1" xfId="0" applyFont="1" applyFill="1" applyBorder="1" applyAlignment="1">
      <alignment horizontal="right" vertical="center" wrapText="1"/>
    </xf>
    <xf numFmtId="164" fontId="9" fillId="8" borderId="1" xfId="0" applyNumberFormat="1" applyFont="1" applyFill="1" applyBorder="1" applyAlignment="1">
      <alignment horizontal="right" vertical="center" wrapText="1"/>
    </xf>
    <xf numFmtId="0" fontId="6" fillId="7" borderId="1" xfId="0" applyFont="1" applyFill="1" applyBorder="1" applyAlignment="1">
      <alignment horizontal="center" vertical="center" wrapText="1"/>
    </xf>
    <xf numFmtId="165" fontId="9" fillId="8" borderId="1" xfId="0" applyNumberFormat="1" applyFont="1" applyFill="1" applyBorder="1" applyAlignment="1">
      <alignment horizontal="right" vertical="center" wrapText="1"/>
    </xf>
    <xf numFmtId="165" fontId="10" fillId="8" borderId="1" xfId="0" applyNumberFormat="1" applyFont="1" applyFill="1" applyBorder="1" applyAlignment="1">
      <alignment horizontal="right" vertical="center" wrapText="1"/>
    </xf>
    <xf numFmtId="165" fontId="9" fillId="8" borderId="1" xfId="0" applyNumberFormat="1" applyFont="1" applyFill="1" applyBorder="1" applyAlignment="1">
      <alignment horizontal="right" vertical="center"/>
    </xf>
    <xf numFmtId="165" fontId="9" fillId="8" borderId="3" xfId="0" applyNumberFormat="1" applyFont="1" applyFill="1" applyBorder="1" applyAlignment="1">
      <alignment horizontal="right" vertical="center" wrapText="1"/>
    </xf>
    <xf numFmtId="165" fontId="9" fillId="8" borderId="4" xfId="0" applyNumberFormat="1" applyFont="1" applyFill="1" applyBorder="1" applyAlignment="1">
      <alignment horizontal="right" vertical="center" wrapText="1"/>
    </xf>
    <xf numFmtId="165" fontId="9" fillId="8" borderId="3" xfId="0" applyNumberFormat="1" applyFont="1" applyFill="1" applyBorder="1" applyAlignment="1">
      <alignment horizontal="right" vertical="center"/>
    </xf>
    <xf numFmtId="165" fontId="9" fillId="8" borderId="4" xfId="0" applyNumberFormat="1" applyFont="1" applyFill="1" applyBorder="1" applyAlignment="1">
      <alignment horizontal="right" vertical="center"/>
    </xf>
    <xf numFmtId="0" fontId="12" fillId="0" borderId="1" xfId="0" applyFont="1" applyBorder="1" applyAlignment="1">
      <alignment horizontal="center" vertical="center" wrapText="1"/>
    </xf>
    <xf numFmtId="0" fontId="12" fillId="0" borderId="1" xfId="0" applyFont="1" applyBorder="1" applyAlignment="1">
      <alignment vertical="center" wrapText="1"/>
    </xf>
    <xf numFmtId="0" fontId="5" fillId="0" borderId="5" xfId="0" applyFont="1" applyBorder="1" applyAlignment="1">
      <alignment horizontal="center" vertical="center"/>
    </xf>
    <xf numFmtId="0" fontId="5" fillId="0" borderId="7" xfId="0" applyFont="1" applyBorder="1" applyAlignment="1">
      <alignment vertical="center"/>
    </xf>
    <xf numFmtId="0" fontId="5" fillId="0" borderId="6" xfId="0" applyFont="1" applyBorder="1" applyAlignment="1">
      <alignment vertical="center"/>
    </xf>
    <xf numFmtId="0" fontId="15" fillId="3" borderId="5" xfId="0" applyFont="1" applyFill="1" applyBorder="1" applyAlignment="1">
      <alignment horizontal="left" vertical="center"/>
    </xf>
    <xf numFmtId="0" fontId="15" fillId="3" borderId="7" xfId="0" applyFont="1" applyFill="1" applyBorder="1" applyAlignment="1">
      <alignment horizontal="left" vertical="center"/>
    </xf>
    <xf numFmtId="0" fontId="15" fillId="3" borderId="6" xfId="0" applyFont="1" applyFill="1" applyBorder="1" applyAlignment="1">
      <alignment horizontal="left" vertical="center"/>
    </xf>
    <xf numFmtId="0" fontId="18" fillId="4" borderId="5" xfId="0" applyFont="1" applyFill="1" applyBorder="1" applyAlignment="1">
      <alignment horizontal="left" vertical="center"/>
    </xf>
    <xf numFmtId="0" fontId="18" fillId="4" borderId="7" xfId="0" applyFont="1" applyFill="1" applyBorder="1" applyAlignment="1">
      <alignment horizontal="left" vertical="center"/>
    </xf>
    <xf numFmtId="0" fontId="18" fillId="4" borderId="6" xfId="0" applyFont="1" applyFill="1" applyBorder="1" applyAlignment="1">
      <alignment horizontal="left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1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3" borderId="0" xfId="0" applyFont="1" applyFill="1" applyAlignment="1">
      <alignment horizontal="center" vertical="center"/>
    </xf>
  </cellXfs>
  <cellStyles count="1"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Денис Веснячок" id="{2A8807E3-97A2-4EAE-B133-A9EB80C94299}" userId="1130000069297734" providerId="None"/>
</personList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Arimo" panose="020B0604020202020204"/>
        <a:ea typeface=""/>
        <a:cs typeface=""/>
        <a:font script="Geor" typeface="Sylfaen"/>
      </a:majorFont>
      <a:minorFont>
        <a:latin typeface="Arimo" panose="020B0604020202020204"/>
        <a:ea typeface=""/>
        <a:cs typeface="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" dT="2026-06-24T13:54:43.61" personId="{2A8807E3-97A2-4EAE-B133-A9EB80C94299}" id="{4A9AE7E1-0D06-4638-9997-E745F48186E6}">
    <text>Выдадим бесплатно как бонус за счет покупки лицензий amoCRM через Генезис</text>
  </threadedComment>
</ThreadedComment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gnzs.ru/widgets/integracia-s-telegram" TargetMode="External"/><Relationship Id="rId18" Type="http://schemas.openxmlformats.org/officeDocument/2006/relationships/hyperlink" Target="https://gnzs.ru/widgets/zadachi-pri-vhodyashih-soobsheniyah" TargetMode="External"/><Relationship Id="rId26" Type="http://schemas.openxmlformats.org/officeDocument/2006/relationships/hyperlink" Target="https://gnzs.ru/widgets/cvet-zadach" TargetMode="External"/><Relationship Id="rId39" Type="http://schemas.openxmlformats.org/officeDocument/2006/relationships/hyperlink" Target="https://gnzs.ru/widgets/zadachi-pri-vhodyashih-soobsheniyah" TargetMode="External"/><Relationship Id="rId21" Type="http://schemas.openxmlformats.org/officeDocument/2006/relationships/hyperlink" Target="https://gnzs.ru/widgets/avtozapolnenie-rekvizitov-dadata" TargetMode="External"/><Relationship Id="rId34" Type="http://schemas.openxmlformats.org/officeDocument/2006/relationships/hyperlink" Target="https://gnzs.ru/widgets/max-messenger" TargetMode="External"/><Relationship Id="rId42" Type="http://schemas.microsoft.com/office/2017/10/relationships/threadedComment" Target="../threadedComments/threadedComment1.xml"/><Relationship Id="rId7" Type="http://schemas.openxmlformats.org/officeDocument/2006/relationships/hyperlink" Target="https://gnzs.ru/widgets/raspredelenie-sdelok" TargetMode="External"/><Relationship Id="rId2" Type="http://schemas.openxmlformats.org/officeDocument/2006/relationships/hyperlink" Target="https://gnzs.ru/widgets/drugie-sdelki-kontaktov" TargetMode="External"/><Relationship Id="rId16" Type="http://schemas.openxmlformats.org/officeDocument/2006/relationships/hyperlink" Target="https://gnzs.ru/widgets/max-messenger" TargetMode="External"/><Relationship Id="rId20" Type="http://schemas.openxmlformats.org/officeDocument/2006/relationships/hyperlink" Target="https://sensei.plus/product" TargetMode="External"/><Relationship Id="rId29" Type="http://schemas.openxmlformats.org/officeDocument/2006/relationships/hyperlink" Target="https://gnzs.ru/widgets/vremya-klienta" TargetMode="External"/><Relationship Id="rId41" Type="http://schemas.openxmlformats.org/officeDocument/2006/relationships/comments" Target="../comments1.xml"/><Relationship Id="rId1" Type="http://schemas.openxmlformats.org/officeDocument/2006/relationships/hyperlink" Target="https://gnzs.ru/widgets/google-tables" TargetMode="External"/><Relationship Id="rId6" Type="http://schemas.openxmlformats.org/officeDocument/2006/relationships/hyperlink" Target="https://gnzs.ru/widgets/prometei" TargetMode="External"/><Relationship Id="rId11" Type="http://schemas.openxmlformats.org/officeDocument/2006/relationships/hyperlink" Target="https://gnzs.ru/widgets/maska-nomera-dublikaty" TargetMode="External"/><Relationship Id="rId24" Type="http://schemas.openxmlformats.org/officeDocument/2006/relationships/hyperlink" Target="https://gnzs.ru/widgets/prometei" TargetMode="External"/><Relationship Id="rId32" Type="http://schemas.openxmlformats.org/officeDocument/2006/relationships/hyperlink" Target="https://gnzs.ru/widgets/integracia-s-telegram-bot" TargetMode="External"/><Relationship Id="rId37" Type="http://schemas.openxmlformats.org/officeDocument/2006/relationships/hyperlink" Target="https://gnzs.ru/widgets/telegram-notifications" TargetMode="External"/><Relationship Id="rId40" Type="http://schemas.openxmlformats.org/officeDocument/2006/relationships/vmlDrawing" Target="../drawings/vmlDrawing1.vml"/><Relationship Id="rId5" Type="http://schemas.openxmlformats.org/officeDocument/2006/relationships/hyperlink" Target="https://gnzs.ru/widgets/cvet-zadach" TargetMode="External"/><Relationship Id="rId15" Type="http://schemas.openxmlformats.org/officeDocument/2006/relationships/hyperlink" Target="https://gnzs.ru/widgets/max-notifications" TargetMode="External"/><Relationship Id="rId23" Type="http://schemas.openxmlformats.org/officeDocument/2006/relationships/hyperlink" Target="https://sensei.plus/product" TargetMode="External"/><Relationship Id="rId28" Type="http://schemas.openxmlformats.org/officeDocument/2006/relationships/hyperlink" Target="https://gnzs.ru/widgets/avtozapolnenie-rekvizitov-dadata" TargetMode="External"/><Relationship Id="rId36" Type="http://schemas.openxmlformats.org/officeDocument/2006/relationships/hyperlink" Target="https://bbchat.ru/" TargetMode="External"/><Relationship Id="rId10" Type="http://schemas.openxmlformats.org/officeDocument/2006/relationships/hyperlink" Target="https://gnzs.ru/widgets/objedinenie-dublej" TargetMode="External"/><Relationship Id="rId19" Type="http://schemas.openxmlformats.org/officeDocument/2006/relationships/hyperlink" Target="https://bbchat.ru/" TargetMode="External"/><Relationship Id="rId31" Type="http://schemas.openxmlformats.org/officeDocument/2006/relationships/hyperlink" Target="https://gnzs.ru/widgets/maska-nomera-dublikaty" TargetMode="External"/><Relationship Id="rId4" Type="http://schemas.openxmlformats.org/officeDocument/2006/relationships/hyperlink" Target="https://gnzs.ru/widgets/objedinenie-dublej" TargetMode="External"/><Relationship Id="rId9" Type="http://schemas.openxmlformats.org/officeDocument/2006/relationships/hyperlink" Target="https://gnzs.ru/widgets/vremya-klienta" TargetMode="External"/><Relationship Id="rId14" Type="http://schemas.openxmlformats.org/officeDocument/2006/relationships/hyperlink" Target="https://gnzs.ru/widgets/telegram-notifications" TargetMode="External"/><Relationship Id="rId22" Type="http://schemas.openxmlformats.org/officeDocument/2006/relationships/hyperlink" Target="https://www.uiscom.ru/" TargetMode="External"/><Relationship Id="rId27" Type="http://schemas.openxmlformats.org/officeDocument/2006/relationships/hyperlink" Target="https://www.uiscom.ru/" TargetMode="External"/><Relationship Id="rId30" Type="http://schemas.openxmlformats.org/officeDocument/2006/relationships/hyperlink" Target="https://gnzs.ru/widgets/objedinenie-dublej" TargetMode="External"/><Relationship Id="rId35" Type="http://schemas.openxmlformats.org/officeDocument/2006/relationships/hyperlink" Target="https://gnzs.ru/widgets/max-personal" TargetMode="External"/><Relationship Id="rId8" Type="http://schemas.openxmlformats.org/officeDocument/2006/relationships/hyperlink" Target="https://gnzs.ru/widgets/cvet-zadach" TargetMode="External"/><Relationship Id="rId3" Type="http://schemas.openxmlformats.org/officeDocument/2006/relationships/hyperlink" Target="https://gnzs.ru/widgets/disable-change-status" TargetMode="External"/><Relationship Id="rId12" Type="http://schemas.openxmlformats.org/officeDocument/2006/relationships/hyperlink" Target="https://gnzs.ru/widgets/integracia-s-telegram-bot" TargetMode="External"/><Relationship Id="rId17" Type="http://schemas.openxmlformats.org/officeDocument/2006/relationships/hyperlink" Target="https://gnzs.ru/widgets/max-personal" TargetMode="External"/><Relationship Id="rId25" Type="http://schemas.openxmlformats.org/officeDocument/2006/relationships/hyperlink" Target="https://gnzs.ru/widgets/raspredelenie-sdelok" TargetMode="External"/><Relationship Id="rId33" Type="http://schemas.openxmlformats.org/officeDocument/2006/relationships/hyperlink" Target="https://gnzs.ru/widgets/integracia-s-telegram" TargetMode="External"/><Relationship Id="rId38" Type="http://schemas.openxmlformats.org/officeDocument/2006/relationships/hyperlink" Target="https://gnzs.ru/widgets/max-notification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01"/>
  <sheetViews>
    <sheetView workbookViewId="0"/>
  </sheetViews>
  <sheetFormatPr defaultColWidth="13.44140625" defaultRowHeight="14.25" customHeight="1"/>
  <cols>
    <col min="1" max="1" width="3.77734375" style="11" customWidth="1"/>
    <col min="2" max="2" width="25.44140625" style="11" customWidth="1"/>
    <col min="3" max="4" width="13.33203125" style="11"/>
    <col min="5" max="5" width="20.77734375" style="11" customWidth="1"/>
    <col min="6" max="6" width="17.21875" style="11" customWidth="1"/>
    <col min="7" max="7" width="15.6640625" style="11" customWidth="1"/>
    <col min="8" max="8" width="19.77734375" style="11" customWidth="1"/>
    <col min="9" max="9" width="16.5546875" style="11" customWidth="1"/>
    <col min="10" max="10" width="17.109375" style="11" customWidth="1"/>
    <col min="11" max="11" width="18.109375" style="11" customWidth="1"/>
    <col min="12" max="12" width="19" style="11" customWidth="1"/>
    <col min="13" max="13" width="18.88671875" style="11" customWidth="1"/>
    <col min="14" max="14" width="15" style="11" customWidth="1"/>
    <col min="15" max="15" width="15.88671875" style="11" customWidth="1"/>
    <col min="16" max="16" width="16.33203125" style="11" customWidth="1"/>
    <col min="17" max="17" width="16.5546875" style="11" customWidth="1"/>
    <col min="18" max="18" width="16.21875" style="11" customWidth="1"/>
    <col min="19" max="19" width="16" style="11" customWidth="1"/>
    <col min="20" max="20" width="16.33203125" style="11" customWidth="1"/>
    <col min="21" max="21" width="17.44140625" style="11" customWidth="1"/>
    <col min="22" max="22" width="17" style="11" customWidth="1"/>
    <col min="23" max="23" width="17.109375" style="11" customWidth="1"/>
    <col min="24" max="24" width="17.21875" style="11" customWidth="1"/>
    <col min="25" max="25" width="17.88671875" style="11" customWidth="1"/>
    <col min="26" max="26" width="17.109375" style="11" customWidth="1"/>
    <col min="27" max="28" width="15.5546875" style="11" customWidth="1"/>
    <col min="29" max="29" width="16.33203125" style="11" customWidth="1"/>
    <col min="30" max="30" width="17" style="11" customWidth="1"/>
    <col min="31" max="31" width="14.77734375" style="11" customWidth="1"/>
    <col min="32" max="32" width="17.44140625" style="12" customWidth="1"/>
    <col min="33" max="40" width="13.33203125" style="12"/>
  </cols>
  <sheetData>
    <row r="1" spans="1:40" s="2" customFormat="1" ht="51" customHeight="1">
      <c r="A1" s="10" t="s">
        <v>18</v>
      </c>
      <c r="B1" s="37" t="s">
        <v>0</v>
      </c>
      <c r="C1" s="37" t="s">
        <v>1</v>
      </c>
      <c r="D1" s="37" t="s">
        <v>3</v>
      </c>
      <c r="E1" s="37" t="s">
        <v>2</v>
      </c>
      <c r="F1" s="10" t="s">
        <v>21</v>
      </c>
      <c r="G1" s="39" t="s">
        <v>12</v>
      </c>
      <c r="H1" s="41" t="s">
        <v>15</v>
      </c>
      <c r="I1" s="44" t="s">
        <v>36</v>
      </c>
      <c r="J1" s="43" t="s">
        <v>43</v>
      </c>
      <c r="K1" s="41" t="s">
        <v>16</v>
      </c>
      <c r="L1" s="44" t="s">
        <v>37</v>
      </c>
      <c r="M1" s="43" t="s">
        <v>44</v>
      </c>
      <c r="N1" s="41" t="s">
        <v>17</v>
      </c>
      <c r="O1" s="44" t="s">
        <v>38</v>
      </c>
      <c r="P1" s="43" t="s">
        <v>46</v>
      </c>
      <c r="Q1" s="41" t="s">
        <v>20</v>
      </c>
      <c r="R1" s="44" t="s">
        <v>39</v>
      </c>
      <c r="S1" s="43" t="s">
        <v>47</v>
      </c>
      <c r="T1" s="39" t="s">
        <v>11</v>
      </c>
      <c r="U1" s="42" t="s">
        <v>15</v>
      </c>
      <c r="V1" s="45" t="s">
        <v>36</v>
      </c>
      <c r="W1" s="43" t="s">
        <v>43</v>
      </c>
      <c r="X1" s="42" t="s">
        <v>16</v>
      </c>
      <c r="Y1" s="45" t="s">
        <v>37</v>
      </c>
      <c r="Z1" s="43" t="s">
        <v>44</v>
      </c>
      <c r="AA1" s="42" t="s">
        <v>17</v>
      </c>
      <c r="AB1" s="45" t="s">
        <v>38</v>
      </c>
      <c r="AC1" s="43" t="s">
        <v>46</v>
      </c>
      <c r="AD1" s="42" t="s">
        <v>20</v>
      </c>
      <c r="AE1" s="44" t="s">
        <v>39</v>
      </c>
      <c r="AF1" s="43" t="s">
        <v>47</v>
      </c>
      <c r="AG1" s="40"/>
      <c r="AH1" s="40"/>
      <c r="AI1" s="40"/>
      <c r="AJ1" s="40"/>
      <c r="AK1" s="40"/>
      <c r="AL1" s="40"/>
      <c r="AM1" s="40"/>
      <c r="AN1" s="40"/>
    </row>
    <row r="2" spans="1:40" s="20" customFormat="1" ht="30.75" customHeight="1">
      <c r="A2" s="10">
        <v>1</v>
      </c>
      <c r="B2" s="17" t="s">
        <v>4</v>
      </c>
      <c r="C2" s="35">
        <v>29550703</v>
      </c>
      <c r="D2" s="36">
        <v>46594</v>
      </c>
      <c r="E2" s="17" t="s">
        <v>5</v>
      </c>
      <c r="F2" s="13" t="s">
        <v>22</v>
      </c>
      <c r="G2" s="39">
        <v>310</v>
      </c>
      <c r="H2" s="14">
        <v>3160140</v>
      </c>
      <c r="I2" s="14">
        <v>6993</v>
      </c>
      <c r="J2" s="14">
        <f>SUM(H2:I2)</f>
        <v>3167133</v>
      </c>
      <c r="K2" s="14">
        <v>4213520</v>
      </c>
      <c r="L2" s="14">
        <v>9990</v>
      </c>
      <c r="M2" s="14">
        <f>SUM(K2:L2)</f>
        <v>4223510</v>
      </c>
      <c r="N2" s="14">
        <v>5266900</v>
      </c>
      <c r="O2" s="14">
        <v>12987</v>
      </c>
      <c r="P2" s="14">
        <f>SUM(N2:O2)</f>
        <v>5279887</v>
      </c>
      <c r="Q2" s="14">
        <v>9480420</v>
      </c>
      <c r="R2" s="14">
        <v>24975</v>
      </c>
      <c r="S2" s="14">
        <f>SUM(Q2:R2)</f>
        <v>9505395</v>
      </c>
      <c r="T2" s="39">
        <v>200</v>
      </c>
      <c r="U2" s="21">
        <v>2038800</v>
      </c>
      <c r="V2" s="14">
        <v>6993</v>
      </c>
      <c r="W2" s="21">
        <f>SUM(U2:V2)</f>
        <v>2045793</v>
      </c>
      <c r="X2" s="21">
        <v>2718400</v>
      </c>
      <c r="Y2" s="14">
        <v>9990</v>
      </c>
      <c r="Z2" s="21">
        <f>SUM(X2:Y2)</f>
        <v>2728390</v>
      </c>
      <c r="AA2" s="21">
        <v>3398000</v>
      </c>
      <c r="AB2" s="14">
        <v>12987</v>
      </c>
      <c r="AC2" s="21">
        <f>SUM(AA2:AB2)</f>
        <v>3410987</v>
      </c>
      <c r="AD2" s="21">
        <v>6116400</v>
      </c>
      <c r="AE2" s="14">
        <v>24975</v>
      </c>
      <c r="AF2" s="21">
        <f>SUM(AD2:AE2)</f>
        <v>6141375</v>
      </c>
      <c r="AG2" s="12"/>
      <c r="AH2" s="12"/>
      <c r="AI2" s="12"/>
      <c r="AJ2" s="12"/>
      <c r="AK2" s="12"/>
      <c r="AL2" s="12"/>
      <c r="AM2" s="12"/>
      <c r="AN2" s="12"/>
    </row>
    <row r="3" spans="1:40" s="23" customFormat="1" ht="21" customHeight="1">
      <c r="A3" s="90">
        <v>2</v>
      </c>
      <c r="B3" s="91" t="s">
        <v>6</v>
      </c>
      <c r="C3" s="92">
        <v>31061678</v>
      </c>
      <c r="D3" s="93">
        <v>46594</v>
      </c>
      <c r="E3" s="91" t="s">
        <v>5</v>
      </c>
      <c r="F3" s="27" t="s">
        <v>22</v>
      </c>
      <c r="G3" s="94">
        <v>218</v>
      </c>
      <c r="H3" s="95">
        <v>2222292</v>
      </c>
      <c r="I3" s="29">
        <v>6993</v>
      </c>
      <c r="J3" s="95">
        <f>SUM(H3+I3+I4)</f>
        <v>2243271</v>
      </c>
      <c r="K3" s="95">
        <v>2963056</v>
      </c>
      <c r="L3" s="29">
        <v>9990</v>
      </c>
      <c r="M3" s="98">
        <f>SUM(K3+L3+L4)</f>
        <v>2993026</v>
      </c>
      <c r="N3" s="95">
        <v>3703820</v>
      </c>
      <c r="O3" s="29">
        <v>12987</v>
      </c>
      <c r="P3" s="98">
        <f>SUM(N3+O3+O4)</f>
        <v>3742781</v>
      </c>
      <c r="Q3" s="95">
        <v>6666876</v>
      </c>
      <c r="R3" s="29">
        <v>24975</v>
      </c>
      <c r="S3" s="98">
        <f>SUM(Q3+R3+R4)</f>
        <v>6741801</v>
      </c>
      <c r="T3" s="94">
        <v>140</v>
      </c>
      <c r="U3" s="97">
        <v>1427160</v>
      </c>
      <c r="V3" s="29">
        <v>6993</v>
      </c>
      <c r="W3" s="100">
        <f>SUM(U3+V3+V4)</f>
        <v>1448139</v>
      </c>
      <c r="X3" s="97">
        <v>1902880</v>
      </c>
      <c r="Y3" s="29">
        <v>9990</v>
      </c>
      <c r="Z3" s="100">
        <f>SUM(X3+Y3+Y4)</f>
        <v>1932850</v>
      </c>
      <c r="AA3" s="97">
        <v>2378600</v>
      </c>
      <c r="AB3" s="29">
        <v>12987</v>
      </c>
      <c r="AC3" s="100">
        <f>SUM(AA3+AB3+AB4)</f>
        <v>2417561</v>
      </c>
      <c r="AD3" s="97">
        <v>4281480</v>
      </c>
      <c r="AE3" s="29">
        <v>24975</v>
      </c>
      <c r="AF3" s="100">
        <f>SUM(AD3+AE3+AE4)</f>
        <v>4356405</v>
      </c>
      <c r="AG3" s="12"/>
      <c r="AH3" s="12"/>
      <c r="AI3" s="12"/>
      <c r="AJ3" s="12"/>
      <c r="AK3" s="12"/>
      <c r="AL3" s="12"/>
      <c r="AM3" s="12"/>
      <c r="AN3" s="12"/>
    </row>
    <row r="4" spans="1:40" s="23" customFormat="1" ht="26.4">
      <c r="A4" s="90"/>
      <c r="B4" s="91"/>
      <c r="C4" s="92"/>
      <c r="D4" s="93"/>
      <c r="E4" s="91"/>
      <c r="F4" s="27" t="s">
        <v>27</v>
      </c>
      <c r="G4" s="94"/>
      <c r="H4" s="96"/>
      <c r="I4" s="29">
        <v>13986</v>
      </c>
      <c r="J4" s="95"/>
      <c r="K4" s="96"/>
      <c r="L4" s="29">
        <v>19980</v>
      </c>
      <c r="M4" s="99"/>
      <c r="N4" s="96"/>
      <c r="O4" s="29">
        <v>25974</v>
      </c>
      <c r="P4" s="99"/>
      <c r="Q4" s="96"/>
      <c r="R4" s="29">
        <v>49950</v>
      </c>
      <c r="S4" s="99"/>
      <c r="T4" s="94"/>
      <c r="U4" s="95"/>
      <c r="V4" s="29">
        <v>13986</v>
      </c>
      <c r="W4" s="101"/>
      <c r="X4" s="96"/>
      <c r="Y4" s="29">
        <v>19980</v>
      </c>
      <c r="Z4" s="101"/>
      <c r="AA4" s="96"/>
      <c r="AB4" s="29">
        <v>25974</v>
      </c>
      <c r="AC4" s="101"/>
      <c r="AD4" s="96"/>
      <c r="AE4" s="29">
        <v>49950</v>
      </c>
      <c r="AF4" s="101"/>
      <c r="AG4" s="12"/>
      <c r="AH4" s="12"/>
      <c r="AI4" s="12"/>
      <c r="AJ4" s="12"/>
      <c r="AK4" s="12"/>
      <c r="AL4" s="12"/>
      <c r="AM4" s="12"/>
      <c r="AN4" s="12"/>
    </row>
    <row r="5" spans="1:40" ht="30" customHeight="1">
      <c r="A5" s="10">
        <v>3</v>
      </c>
      <c r="B5" s="17" t="s">
        <v>7</v>
      </c>
      <c r="C5" s="35">
        <v>30299257</v>
      </c>
      <c r="D5" s="36">
        <v>46594</v>
      </c>
      <c r="E5" s="17" t="s">
        <v>5</v>
      </c>
      <c r="F5" s="13" t="s">
        <v>29</v>
      </c>
      <c r="G5" s="39">
        <v>67</v>
      </c>
      <c r="H5" s="21">
        <v>682998</v>
      </c>
      <c r="I5" s="14">
        <v>6993</v>
      </c>
      <c r="J5" s="14">
        <f>SUM(H5:I5)</f>
        <v>689991</v>
      </c>
      <c r="K5" s="21">
        <v>910664</v>
      </c>
      <c r="L5" s="14">
        <v>9990</v>
      </c>
      <c r="M5" s="14">
        <f>SUM(K5:L5)</f>
        <v>920654</v>
      </c>
      <c r="N5" s="21">
        <v>1138330</v>
      </c>
      <c r="O5" s="14">
        <v>12987</v>
      </c>
      <c r="P5" s="14">
        <f>SUM(N5:O5)</f>
        <v>1151317</v>
      </c>
      <c r="Q5" s="21">
        <v>2048994</v>
      </c>
      <c r="R5" s="14">
        <v>24975</v>
      </c>
      <c r="S5" s="14">
        <f>SUM(Q5:R5)</f>
        <v>2073969</v>
      </c>
      <c r="T5" s="39">
        <v>60</v>
      </c>
      <c r="U5" s="21">
        <v>611640</v>
      </c>
      <c r="V5" s="14">
        <v>6993</v>
      </c>
      <c r="W5" s="21">
        <f>SUM(U5:V5)</f>
        <v>618633</v>
      </c>
      <c r="X5" s="21">
        <v>815520</v>
      </c>
      <c r="Y5" s="14">
        <v>9990</v>
      </c>
      <c r="Z5" s="21">
        <f>SUM(X5:Y5)</f>
        <v>825510</v>
      </c>
      <c r="AA5" s="21">
        <v>1019400</v>
      </c>
      <c r="AB5" s="14">
        <v>12987</v>
      </c>
      <c r="AC5" s="21">
        <f>SUM(AA5:AB5)</f>
        <v>1032387</v>
      </c>
      <c r="AD5" s="21">
        <v>1834920</v>
      </c>
      <c r="AE5" s="14">
        <v>24975</v>
      </c>
      <c r="AF5" s="21">
        <f>SUM(AD5:AE5)</f>
        <v>1859895</v>
      </c>
    </row>
    <row r="6" spans="1:40" s="23" customFormat="1" ht="33" customHeight="1">
      <c r="A6" s="33">
        <v>4</v>
      </c>
      <c r="B6" s="24" t="s">
        <v>8</v>
      </c>
      <c r="C6" s="25">
        <v>28883080</v>
      </c>
      <c r="D6" s="26">
        <v>46199</v>
      </c>
      <c r="E6" s="24" t="s">
        <v>13</v>
      </c>
      <c r="F6" s="28" t="s">
        <v>34</v>
      </c>
      <c r="G6" s="39">
        <v>210</v>
      </c>
      <c r="H6" s="30">
        <v>1258740</v>
      </c>
      <c r="I6" s="31">
        <v>0</v>
      </c>
      <c r="J6" s="29">
        <f>SUM(H6:I6)</f>
        <v>1258740</v>
      </c>
      <c r="K6" s="30">
        <v>1678320</v>
      </c>
      <c r="L6" s="31">
        <v>0</v>
      </c>
      <c r="M6" s="29">
        <f>SUM(K6:L6)</f>
        <v>1678320</v>
      </c>
      <c r="N6" s="30">
        <v>2097900</v>
      </c>
      <c r="O6" s="31">
        <v>0</v>
      </c>
      <c r="P6" s="29">
        <f>SUM(N6:O6)</f>
        <v>2097900</v>
      </c>
      <c r="Q6" s="30">
        <v>3776220</v>
      </c>
      <c r="R6" s="29">
        <v>0</v>
      </c>
      <c r="S6" s="29">
        <f>SUM(Q6:R6)</f>
        <v>3776220</v>
      </c>
      <c r="T6" s="39">
        <v>210</v>
      </c>
      <c r="U6" s="30">
        <v>1258740</v>
      </c>
      <c r="V6" s="31">
        <v>0</v>
      </c>
      <c r="W6" s="30">
        <f>SUM(U6:V6)</f>
        <v>1258740</v>
      </c>
      <c r="X6" s="30">
        <v>1678320</v>
      </c>
      <c r="Y6" s="31">
        <v>0</v>
      </c>
      <c r="Z6" s="30">
        <f>SUM(X6:Y6)</f>
        <v>1678320</v>
      </c>
      <c r="AA6" s="30">
        <v>2097900</v>
      </c>
      <c r="AB6" s="31">
        <v>0</v>
      </c>
      <c r="AC6" s="30">
        <f>SUM(AA6:AB6)</f>
        <v>2097900</v>
      </c>
      <c r="AD6" s="30">
        <v>3776220</v>
      </c>
      <c r="AE6" s="29">
        <v>0</v>
      </c>
      <c r="AF6" s="30">
        <f>SUM(AD6:AE6)</f>
        <v>3776220</v>
      </c>
      <c r="AG6" s="12"/>
      <c r="AH6" s="12"/>
      <c r="AI6" s="12"/>
      <c r="AJ6" s="12"/>
      <c r="AK6" s="12"/>
      <c r="AL6" s="12"/>
      <c r="AM6" s="12"/>
      <c r="AN6" s="12"/>
    </row>
    <row r="7" spans="1:40" ht="24.75" customHeight="1">
      <c r="A7" s="10">
        <v>5</v>
      </c>
      <c r="B7" s="17" t="s">
        <v>9</v>
      </c>
      <c r="C7" s="35">
        <v>30704238</v>
      </c>
      <c r="D7" s="36">
        <v>46414</v>
      </c>
      <c r="E7" s="15" t="s">
        <v>14</v>
      </c>
      <c r="F7" s="19" t="s">
        <v>34</v>
      </c>
      <c r="G7" s="39">
        <v>140</v>
      </c>
      <c r="H7" s="21">
        <v>839160</v>
      </c>
      <c r="I7" s="18">
        <v>0</v>
      </c>
      <c r="J7" s="14">
        <f>SUM(H7:I7)</f>
        <v>839160</v>
      </c>
      <c r="K7" s="21">
        <v>1118880</v>
      </c>
      <c r="L7" s="18">
        <v>0</v>
      </c>
      <c r="M7" s="14">
        <f>SUM(K7:L7)</f>
        <v>1118880</v>
      </c>
      <c r="N7" s="21">
        <v>1398600</v>
      </c>
      <c r="O7" s="18">
        <v>0</v>
      </c>
      <c r="P7" s="14">
        <f>SUM(N7:O7)</f>
        <v>1398600</v>
      </c>
      <c r="Q7" s="21">
        <v>2517480</v>
      </c>
      <c r="R7" s="14">
        <v>0</v>
      </c>
      <c r="S7" s="14">
        <f>SUM(Q7:R7)</f>
        <v>2517480</v>
      </c>
      <c r="T7" s="39">
        <v>130</v>
      </c>
      <c r="U7" s="21">
        <v>779220</v>
      </c>
      <c r="V7" s="18">
        <v>0</v>
      </c>
      <c r="W7" s="21">
        <f>SUM(U7:V7)</f>
        <v>779220</v>
      </c>
      <c r="X7" s="21">
        <v>1038960</v>
      </c>
      <c r="Y7" s="18">
        <v>0</v>
      </c>
      <c r="Z7" s="21">
        <f>SUM(X7:Y7)</f>
        <v>1038960</v>
      </c>
      <c r="AA7" s="21">
        <v>1298700</v>
      </c>
      <c r="AB7" s="18">
        <v>0</v>
      </c>
      <c r="AC7" s="21">
        <f>SUM(AA7:AB7)</f>
        <v>1298700</v>
      </c>
      <c r="AD7" s="18">
        <v>2337660</v>
      </c>
      <c r="AE7" s="14">
        <v>0</v>
      </c>
      <c r="AF7" s="21">
        <f>SUM(AD7:AE7)</f>
        <v>2337660</v>
      </c>
    </row>
    <row r="8" spans="1:40" s="23" customFormat="1" ht="30" customHeight="1">
      <c r="A8" s="34">
        <v>6</v>
      </c>
      <c r="B8" s="24" t="s">
        <v>10</v>
      </c>
      <c r="C8" s="25">
        <v>15874303</v>
      </c>
      <c r="D8" s="26">
        <v>45689</v>
      </c>
      <c r="E8" s="32" t="s">
        <v>14</v>
      </c>
      <c r="F8" s="28" t="s">
        <v>34</v>
      </c>
      <c r="G8" s="39">
        <v>0</v>
      </c>
      <c r="H8" s="31">
        <v>0</v>
      </c>
      <c r="I8" s="29">
        <v>0</v>
      </c>
      <c r="J8" s="29">
        <f>SUM(H8:I8)</f>
        <v>0</v>
      </c>
      <c r="K8" s="29">
        <v>0</v>
      </c>
      <c r="L8" s="29">
        <v>0</v>
      </c>
      <c r="M8" s="29">
        <f>SUM(K8:L8)</f>
        <v>0</v>
      </c>
      <c r="N8" s="29">
        <v>0</v>
      </c>
      <c r="O8" s="29">
        <v>0</v>
      </c>
      <c r="P8" s="29">
        <f>SUM(N8:O8)</f>
        <v>0</v>
      </c>
      <c r="Q8" s="29">
        <v>0</v>
      </c>
      <c r="R8" s="29">
        <v>0</v>
      </c>
      <c r="S8" s="29">
        <f>SUM(Q8:R8)</f>
        <v>0</v>
      </c>
      <c r="T8" s="39">
        <v>43</v>
      </c>
      <c r="U8" s="30">
        <v>257742</v>
      </c>
      <c r="V8" s="29">
        <v>0</v>
      </c>
      <c r="W8" s="30">
        <f>SUM(U8:V8)</f>
        <v>257742</v>
      </c>
      <c r="X8" s="30">
        <v>343656</v>
      </c>
      <c r="Y8" s="29">
        <v>0</v>
      </c>
      <c r="Z8" s="30">
        <f>SUM(X8:Y8)</f>
        <v>343656</v>
      </c>
      <c r="AA8" s="30">
        <v>429570</v>
      </c>
      <c r="AB8" s="29">
        <v>0</v>
      </c>
      <c r="AC8" s="30">
        <f>SUM(AA8:AB8)</f>
        <v>429570</v>
      </c>
      <c r="AD8" s="30">
        <v>773226</v>
      </c>
      <c r="AE8" s="29">
        <v>0</v>
      </c>
      <c r="AF8" s="30">
        <f>SUM(AD8:AE8)</f>
        <v>773226</v>
      </c>
      <c r="AG8" s="12"/>
      <c r="AH8" s="12"/>
      <c r="AI8" s="12"/>
      <c r="AJ8" s="12"/>
      <c r="AK8" s="12"/>
      <c r="AL8" s="12"/>
      <c r="AM8" s="12"/>
      <c r="AN8" s="12"/>
    </row>
    <row r="9" spans="1:40" ht="38.25" customHeight="1">
      <c r="A9" s="102" t="s">
        <v>55</v>
      </c>
      <c r="B9" s="103"/>
      <c r="C9" s="103"/>
      <c r="D9" s="103"/>
      <c r="E9" s="103"/>
      <c r="F9" s="46"/>
      <c r="G9" s="46"/>
      <c r="H9" s="47"/>
      <c r="I9" s="46"/>
      <c r="J9" s="48">
        <f>SUM(J2:J8)</f>
        <v>8198295</v>
      </c>
      <c r="K9" s="46"/>
      <c r="L9" s="46"/>
      <c r="M9" s="48">
        <f>SUM(M2:M8)</f>
        <v>10934390</v>
      </c>
      <c r="N9" s="46"/>
      <c r="O9" s="46"/>
      <c r="P9" s="48">
        <f>SUM(P2:P8)</f>
        <v>13670485</v>
      </c>
      <c r="Q9" s="46"/>
      <c r="R9" s="46"/>
      <c r="S9" s="48">
        <f>SUM(S2:S8)</f>
        <v>24614865</v>
      </c>
      <c r="T9" s="46"/>
      <c r="U9" s="46"/>
      <c r="V9" s="46"/>
      <c r="W9" s="48">
        <f>SUM(W2:W8)</f>
        <v>6408267</v>
      </c>
      <c r="X9" s="47"/>
      <c r="Y9" s="46"/>
      <c r="Z9" s="48">
        <f>SUM(Z2:Z8)</f>
        <v>8547686</v>
      </c>
      <c r="AA9" s="46"/>
      <c r="AB9" s="46"/>
      <c r="AC9" s="48">
        <f>SUM(AC2:AC8)</f>
        <v>10687105</v>
      </c>
      <c r="AD9" s="46"/>
      <c r="AE9" s="46"/>
      <c r="AF9" s="48">
        <f>SUM(AF2:AF8)</f>
        <v>19244781</v>
      </c>
    </row>
    <row r="10" spans="1:40" ht="13.2"/>
    <row r="11" spans="1:40" ht="13.2">
      <c r="U11" s="22"/>
      <c r="V11" s="22"/>
      <c r="W11" s="22"/>
      <c r="X11" s="22"/>
      <c r="Y11" s="22"/>
    </row>
    <row r="12" spans="1:40" ht="13.2">
      <c r="U12" s="22"/>
      <c r="V12" s="22"/>
      <c r="W12" s="22"/>
      <c r="X12" s="22"/>
      <c r="Y12" s="22"/>
      <c r="Z12" s="22"/>
      <c r="AA12" s="22"/>
    </row>
    <row r="13" spans="1:40" ht="13.2">
      <c r="H13" s="22"/>
      <c r="I13" s="22"/>
      <c r="J13" s="22"/>
      <c r="K13" s="22"/>
      <c r="L13" s="22"/>
      <c r="U13" s="22"/>
      <c r="V13" s="22"/>
      <c r="W13" s="22"/>
      <c r="X13" s="22"/>
      <c r="Y13" s="22"/>
    </row>
    <row r="14" spans="1:40" ht="13.2">
      <c r="F14" s="22"/>
      <c r="G14" s="22"/>
      <c r="H14" s="22"/>
      <c r="I14" s="22"/>
      <c r="J14" s="22"/>
      <c r="K14" s="22"/>
      <c r="L14" s="22"/>
    </row>
    <row r="15" spans="1:40" ht="13.2"/>
    <row r="16" spans="1:40" ht="13.2"/>
    <row r="17" spans="10:11" ht="13.2">
      <c r="J17" s="16"/>
      <c r="K17" s="16"/>
    </row>
    <row r="18" spans="10:11" ht="13.2"/>
    <row r="19" spans="10:11" ht="13.2"/>
    <row r="20" spans="10:11" ht="13.2"/>
    <row r="21" spans="10:11" ht="13.2"/>
    <row r="22" spans="10:11" ht="13.2"/>
    <row r="23" spans="10:11" ht="13.2"/>
    <row r="24" spans="10:11" ht="13.2"/>
    <row r="25" spans="10:11" ht="13.2"/>
    <row r="26" spans="10:11" ht="13.2"/>
    <row r="27" spans="10:11" ht="13.2"/>
    <row r="28" spans="10:11" ht="13.2"/>
    <row r="29" spans="10:11" ht="13.2"/>
    <row r="30" spans="10:11" ht="13.2"/>
    <row r="31" spans="10:11" ht="13.2"/>
    <row r="32" spans="10:11" ht="13.2"/>
    <row r="33" ht="13.2"/>
    <row r="34" ht="13.2"/>
    <row r="35" ht="13.2"/>
    <row r="36" ht="13.2"/>
    <row r="37" ht="13.2"/>
    <row r="38" ht="13.2"/>
    <row r="39" ht="13.2"/>
    <row r="40" ht="13.2"/>
    <row r="41" ht="13.2"/>
    <row r="42" ht="13.2"/>
    <row r="43" ht="13.2"/>
    <row r="44" ht="13.2"/>
    <row r="45" ht="13.2"/>
    <row r="46" ht="13.2"/>
    <row r="47" ht="13.2"/>
    <row r="48" ht="13.2"/>
    <row r="49" ht="13.2"/>
    <row r="50" ht="13.2"/>
    <row r="51" ht="13.2"/>
    <row r="52" ht="13.2"/>
    <row r="53" ht="13.2"/>
    <row r="54" ht="13.2"/>
    <row r="55" ht="13.2"/>
    <row r="56" ht="13.2"/>
    <row r="57" ht="13.2"/>
    <row r="58" ht="13.2"/>
    <row r="59" ht="13.2"/>
    <row r="60" ht="13.2"/>
    <row r="61" ht="13.2"/>
    <row r="62" ht="13.2"/>
    <row r="63" ht="13.2"/>
    <row r="64" ht="13.2"/>
    <row r="65" ht="13.2"/>
    <row r="66" ht="13.2"/>
    <row r="67" ht="13.2"/>
    <row r="68" ht="13.2"/>
    <row r="69" ht="13.2"/>
    <row r="70" ht="13.2"/>
    <row r="71" ht="13.2"/>
    <row r="72" ht="13.2"/>
    <row r="73" ht="13.2"/>
    <row r="74" ht="13.2"/>
    <row r="75" ht="13.2"/>
    <row r="76" ht="13.2"/>
    <row r="77" ht="13.2"/>
    <row r="78" ht="13.2"/>
    <row r="79" ht="13.2"/>
    <row r="80" ht="13.2"/>
    <row r="81" ht="13.2"/>
    <row r="82" ht="13.2"/>
    <row r="83" ht="13.2"/>
    <row r="84" ht="13.2"/>
    <row r="85" ht="13.2"/>
    <row r="86" ht="13.2"/>
    <row r="87" ht="13.2"/>
    <row r="88" ht="13.2"/>
    <row r="89" ht="13.2"/>
    <row r="90" ht="13.2"/>
    <row r="91" ht="13.2"/>
    <row r="92" ht="13.2"/>
    <row r="93" ht="13.2"/>
    <row r="94" ht="13.2"/>
    <row r="95" ht="13.2"/>
    <row r="96" ht="13.2"/>
    <row r="97" ht="13.2"/>
    <row r="98" ht="13.2"/>
    <row r="99" ht="13.2"/>
    <row r="100" ht="13.2"/>
    <row r="101" ht="13.2"/>
    <row r="102" ht="13.2"/>
    <row r="103" ht="13.2"/>
    <row r="104" ht="13.2"/>
    <row r="105" ht="13.2"/>
    <row r="106" ht="13.2"/>
    <row r="107" ht="13.2"/>
    <row r="108" ht="13.2"/>
    <row r="109" ht="13.2"/>
    <row r="110" ht="13.2"/>
    <row r="111" ht="13.2"/>
    <row r="112" ht="13.2"/>
    <row r="113" ht="13.2"/>
    <row r="114" ht="13.2"/>
    <row r="115" ht="13.2"/>
    <row r="116" ht="13.2"/>
    <row r="117" ht="13.2"/>
    <row r="118" ht="13.2"/>
    <row r="119" ht="13.2"/>
    <row r="120" ht="13.2"/>
    <row r="121" ht="13.2"/>
    <row r="122" ht="13.2"/>
    <row r="123" ht="13.2"/>
    <row r="124" ht="13.2"/>
    <row r="125" ht="13.2"/>
    <row r="126" ht="13.2"/>
    <row r="127" ht="13.2"/>
    <row r="128" ht="13.2"/>
    <row r="129" ht="13.2"/>
    <row r="130" ht="13.2"/>
    <row r="131" ht="13.2"/>
    <row r="132" ht="13.2"/>
    <row r="133" ht="13.2"/>
    <row r="134" ht="13.2"/>
    <row r="135" ht="13.2"/>
    <row r="136" ht="13.2"/>
    <row r="137" ht="13.2"/>
    <row r="138" ht="13.2"/>
    <row r="139" ht="13.2"/>
    <row r="140" ht="13.2"/>
    <row r="141" ht="13.2"/>
    <row r="142" ht="13.2"/>
    <row r="143" ht="13.2"/>
    <row r="144" ht="13.2"/>
    <row r="145" ht="13.2"/>
    <row r="146" ht="13.2"/>
    <row r="147" ht="13.2"/>
    <row r="148" ht="13.2"/>
    <row r="149" ht="13.2"/>
    <row r="150" ht="13.2"/>
    <row r="151" ht="13.2"/>
    <row r="152" ht="13.2"/>
    <row r="153" ht="13.2"/>
    <row r="154" ht="13.2"/>
    <row r="155" ht="13.2"/>
    <row r="156" ht="13.2"/>
    <row r="157" ht="13.2"/>
    <row r="158" ht="13.2"/>
    <row r="159" ht="13.2"/>
    <row r="160" ht="13.2"/>
    <row r="161" ht="13.2"/>
    <row r="162" ht="13.2"/>
    <row r="163" ht="13.2"/>
    <row r="164" ht="13.2"/>
    <row r="165" ht="13.2"/>
    <row r="166" ht="13.2"/>
    <row r="167" ht="13.2"/>
    <row r="168" ht="13.2"/>
    <row r="169" ht="13.2"/>
    <row r="170" ht="13.2"/>
    <row r="171" ht="13.2"/>
    <row r="172" ht="13.2"/>
    <row r="173" ht="13.2"/>
    <row r="174" ht="13.2"/>
    <row r="175" ht="13.2"/>
    <row r="176" ht="13.2"/>
    <row r="177" ht="13.2"/>
    <row r="178" ht="13.2"/>
    <row r="179" ht="13.2"/>
    <row r="180" ht="13.2"/>
    <row r="181" ht="13.2"/>
    <row r="182" ht="13.2"/>
    <row r="183" ht="13.2"/>
    <row r="184" ht="13.2"/>
    <row r="185" ht="13.2"/>
    <row r="186" ht="13.2"/>
    <row r="187" ht="13.2"/>
    <row r="188" ht="13.2"/>
    <row r="189" ht="13.2"/>
    <row r="190" ht="13.2"/>
    <row r="191" ht="13.2"/>
    <row r="192" ht="13.2"/>
    <row r="193" ht="13.2"/>
    <row r="194" ht="13.2"/>
    <row r="195" ht="13.2"/>
    <row r="196" ht="13.2"/>
    <row r="197" ht="13.2"/>
    <row r="198" ht="13.2"/>
    <row r="199" ht="13.2"/>
    <row r="200" ht="13.2"/>
    <row r="201" ht="13.2"/>
    <row r="202" ht="13.2"/>
    <row r="203" ht="13.2"/>
    <row r="204" ht="13.2"/>
    <row r="205" ht="13.2"/>
    <row r="206" ht="13.2"/>
    <row r="207" ht="13.2"/>
    <row r="208" ht="13.2"/>
    <row r="209" ht="13.2"/>
    <row r="210" ht="13.2"/>
    <row r="211" ht="13.2"/>
    <row r="212" ht="13.2"/>
    <row r="213" ht="13.2"/>
    <row r="214" ht="13.2"/>
    <row r="215" ht="13.2"/>
    <row r="216" ht="13.2"/>
    <row r="217" ht="13.2"/>
    <row r="218" ht="13.2"/>
    <row r="219" ht="13.2"/>
    <row r="220" ht="13.2"/>
    <row r="221" ht="13.2"/>
    <row r="222" ht="13.2"/>
    <row r="223" ht="13.2"/>
    <row r="224" ht="13.2"/>
    <row r="225" ht="13.2"/>
    <row r="226" ht="13.2"/>
    <row r="227" ht="13.2"/>
    <row r="228" ht="13.2"/>
    <row r="229" ht="13.2"/>
    <row r="230" ht="13.2"/>
    <row r="231" ht="13.2"/>
    <row r="232" ht="13.2"/>
    <row r="233" ht="13.2"/>
    <row r="234" ht="13.2"/>
    <row r="235" ht="13.2"/>
    <row r="236" ht="13.2"/>
    <row r="237" ht="13.2"/>
    <row r="238" ht="13.2"/>
    <row r="239" ht="13.2"/>
    <row r="240" ht="13.2"/>
    <row r="241" ht="13.2"/>
    <row r="242" ht="13.2"/>
    <row r="243" ht="13.2"/>
    <row r="244" ht="13.2"/>
    <row r="245" ht="13.2"/>
    <row r="246" ht="13.2"/>
    <row r="247" ht="13.2"/>
    <row r="248" ht="13.2"/>
    <row r="249" ht="13.2"/>
    <row r="250" ht="13.2"/>
    <row r="251" ht="13.2"/>
    <row r="252" ht="13.2"/>
    <row r="253" ht="13.2"/>
    <row r="254" ht="13.2"/>
    <row r="255" ht="13.2"/>
    <row r="256" ht="13.2"/>
    <row r="257" ht="13.2"/>
    <row r="258" ht="13.2"/>
    <row r="259" ht="13.2"/>
    <row r="260" ht="13.2"/>
    <row r="261" ht="13.2"/>
    <row r="262" ht="13.2"/>
    <row r="263" ht="13.2"/>
    <row r="264" ht="13.2"/>
    <row r="265" ht="13.2"/>
    <row r="266" ht="13.2"/>
    <row r="267" ht="13.2"/>
    <row r="268" ht="13.2"/>
    <row r="269" ht="13.2"/>
    <row r="270" ht="13.2"/>
    <row r="271" ht="13.2"/>
    <row r="272" ht="13.2"/>
    <row r="273" ht="13.2"/>
    <row r="274" ht="13.2"/>
    <row r="275" ht="13.2"/>
    <row r="276" ht="13.2"/>
    <row r="277" ht="13.2"/>
    <row r="278" ht="13.2"/>
    <row r="279" ht="13.2"/>
    <row r="280" ht="13.2"/>
    <row r="281" ht="13.2"/>
    <row r="282" ht="13.2"/>
    <row r="283" ht="13.2"/>
    <row r="284" ht="13.2"/>
    <row r="285" ht="13.2"/>
    <row r="286" ht="13.2"/>
    <row r="287" ht="13.2"/>
    <row r="288" ht="13.2"/>
    <row r="289" ht="13.2"/>
    <row r="290" ht="13.2"/>
    <row r="291" ht="13.2"/>
    <row r="292" ht="13.2"/>
    <row r="293" ht="13.2"/>
    <row r="294" ht="13.2"/>
    <row r="295" ht="13.2"/>
    <row r="296" ht="13.2"/>
    <row r="297" ht="13.2"/>
    <row r="298" ht="13.2"/>
    <row r="299" ht="13.2"/>
    <row r="300" ht="13.2"/>
    <row r="301" ht="13.2"/>
    <row r="302" ht="13.2"/>
    <row r="303" ht="13.2"/>
    <row r="304" ht="13.2"/>
    <row r="305" ht="13.2"/>
    <row r="306" ht="13.2"/>
    <row r="307" ht="13.2"/>
    <row r="308" ht="13.2"/>
    <row r="309" ht="13.2"/>
    <row r="310" ht="13.2"/>
    <row r="311" ht="13.2"/>
    <row r="312" ht="13.2"/>
    <row r="313" ht="13.2"/>
    <row r="314" ht="13.2"/>
    <row r="315" ht="13.2"/>
    <row r="316" ht="13.2"/>
    <row r="317" ht="13.2"/>
    <row r="318" ht="13.2"/>
    <row r="319" ht="13.2"/>
    <row r="320" ht="13.2"/>
    <row r="321" ht="13.2"/>
    <row r="322" ht="13.2"/>
    <row r="323" ht="13.2"/>
    <row r="324" ht="13.2"/>
    <row r="325" ht="13.2"/>
    <row r="326" ht="13.2"/>
    <row r="327" ht="13.2"/>
    <row r="328" ht="13.2"/>
    <row r="329" ht="13.2"/>
    <row r="330" ht="13.2"/>
    <row r="331" ht="13.2"/>
    <row r="332" ht="13.2"/>
    <row r="333" ht="13.2"/>
    <row r="334" ht="13.2"/>
    <row r="335" ht="13.2"/>
    <row r="336" ht="13.2"/>
    <row r="337" ht="13.2"/>
    <row r="338" ht="13.2"/>
    <row r="339" ht="13.2"/>
    <row r="340" ht="13.2"/>
    <row r="341" ht="13.2"/>
    <row r="342" ht="13.2"/>
    <row r="343" ht="13.2"/>
    <row r="344" ht="13.2"/>
    <row r="345" ht="13.2"/>
    <row r="346" ht="13.2"/>
    <row r="347" ht="13.2"/>
    <row r="348" ht="13.2"/>
    <row r="349" ht="13.2"/>
    <row r="350" ht="13.2"/>
    <row r="351" ht="13.2"/>
    <row r="352" ht="13.2"/>
    <row r="353" ht="13.2"/>
    <row r="354" ht="13.2"/>
    <row r="355" ht="13.2"/>
    <row r="356" ht="13.2"/>
    <row r="357" ht="13.2"/>
    <row r="358" ht="13.2"/>
    <row r="359" ht="13.2"/>
    <row r="360" ht="13.2"/>
    <row r="361" ht="13.2"/>
    <row r="362" ht="13.2"/>
    <row r="363" ht="13.2"/>
    <row r="364" ht="13.2"/>
    <row r="365" ht="13.2"/>
    <row r="366" ht="13.2"/>
    <row r="367" ht="13.2"/>
    <row r="368" ht="13.2"/>
    <row r="369" ht="13.2"/>
    <row r="370" ht="13.2"/>
    <row r="371" ht="13.2"/>
    <row r="372" ht="13.2"/>
    <row r="373" ht="13.2"/>
    <row r="374" ht="13.2"/>
    <row r="375" ht="13.2"/>
    <row r="376" ht="13.2"/>
    <row r="377" ht="13.2"/>
    <row r="378" ht="13.2"/>
    <row r="379" ht="13.2"/>
    <row r="380" ht="13.2"/>
    <row r="381" ht="13.2"/>
    <row r="382" ht="13.2"/>
    <row r="383" ht="13.2"/>
    <row r="384" ht="13.2"/>
    <row r="385" ht="13.2"/>
    <row r="386" ht="13.2"/>
    <row r="387" ht="13.2"/>
    <row r="388" ht="13.2"/>
    <row r="389" ht="13.2"/>
    <row r="390" ht="13.2"/>
    <row r="391" ht="13.2"/>
    <row r="392" ht="13.2"/>
    <row r="393" ht="13.2"/>
    <row r="394" ht="13.2"/>
    <row r="395" ht="13.2"/>
    <row r="396" ht="13.2"/>
    <row r="397" ht="13.2"/>
    <row r="398" ht="13.2"/>
    <row r="399" ht="13.2"/>
    <row r="400" ht="13.2"/>
    <row r="401" ht="13.2"/>
    <row r="402" ht="13.2"/>
    <row r="403" ht="13.2"/>
    <row r="404" ht="13.2"/>
    <row r="405" ht="13.2"/>
    <row r="406" ht="13.2"/>
    <row r="407" ht="13.2"/>
    <row r="408" ht="13.2"/>
    <row r="409" ht="13.2"/>
    <row r="410" ht="13.2"/>
    <row r="411" ht="13.2"/>
    <row r="412" ht="13.2"/>
    <row r="413" ht="13.2"/>
    <row r="414" ht="13.2"/>
    <row r="415" ht="13.2"/>
    <row r="416" ht="13.2"/>
    <row r="417" ht="13.2"/>
    <row r="418" ht="13.2"/>
    <row r="419" ht="13.2"/>
    <row r="420" ht="13.2"/>
    <row r="421" ht="13.2"/>
    <row r="422" ht="13.2"/>
    <row r="423" ht="13.2"/>
    <row r="424" ht="13.2"/>
    <row r="425" ht="13.2"/>
    <row r="426" ht="13.2"/>
    <row r="427" ht="13.2"/>
    <row r="428" ht="13.2"/>
    <row r="429" ht="13.2"/>
    <row r="430" ht="13.2"/>
    <row r="431" ht="13.2"/>
    <row r="432" ht="13.2"/>
    <row r="433" ht="13.2"/>
    <row r="434" ht="13.2"/>
    <row r="435" ht="13.2"/>
    <row r="436" ht="13.2"/>
    <row r="437" ht="13.2"/>
    <row r="438" ht="13.2"/>
    <row r="439" ht="13.2"/>
    <row r="440" ht="13.2"/>
    <row r="441" ht="13.2"/>
    <row r="442" ht="13.2"/>
    <row r="443" ht="13.2"/>
    <row r="444" ht="13.2"/>
    <row r="445" ht="13.2"/>
    <row r="446" ht="13.2"/>
    <row r="447" ht="13.2"/>
    <row r="448" ht="13.2"/>
    <row r="449" ht="13.2"/>
    <row r="450" ht="13.2"/>
    <row r="451" ht="13.2"/>
    <row r="452" ht="13.2"/>
    <row r="453" ht="13.2"/>
    <row r="454" ht="13.2"/>
    <row r="455" ht="13.2"/>
    <row r="456" ht="13.2"/>
    <row r="457" ht="13.2"/>
    <row r="458" ht="13.2"/>
    <row r="459" ht="13.2"/>
    <row r="460" ht="13.2"/>
    <row r="461" ht="13.2"/>
    <row r="462" ht="13.2"/>
    <row r="463" ht="13.2"/>
    <row r="464" ht="13.2"/>
    <row r="465" ht="13.2"/>
    <row r="466" ht="13.2"/>
    <row r="467" ht="13.2"/>
    <row r="468" ht="13.2"/>
    <row r="469" ht="13.2"/>
    <row r="470" ht="13.2"/>
    <row r="471" ht="13.2"/>
    <row r="472" ht="13.2"/>
    <row r="473" ht="13.2"/>
    <row r="474" ht="13.2"/>
    <row r="475" ht="13.2"/>
    <row r="476" ht="13.2"/>
    <row r="477" ht="13.2"/>
    <row r="478" ht="13.2"/>
    <row r="479" ht="13.2"/>
    <row r="480" ht="13.2"/>
    <row r="481" ht="13.2"/>
    <row r="482" ht="13.2"/>
    <row r="483" ht="13.2"/>
    <row r="484" ht="13.2"/>
    <row r="485" ht="13.2"/>
    <row r="486" ht="13.2"/>
    <row r="487" ht="13.2"/>
    <row r="488" ht="13.2"/>
    <row r="489" ht="13.2"/>
    <row r="490" ht="13.2"/>
    <row r="491" ht="13.2"/>
    <row r="492" ht="13.2"/>
    <row r="493" ht="13.2"/>
    <row r="494" ht="13.2"/>
    <row r="495" ht="13.2"/>
    <row r="496" ht="13.2"/>
    <row r="497" ht="13.2"/>
    <row r="498" ht="13.2"/>
    <row r="499" ht="13.2"/>
    <row r="500" ht="13.2"/>
    <row r="501" ht="13.2"/>
    <row r="502" ht="13.2"/>
    <row r="503" ht="13.2"/>
    <row r="504" ht="13.2"/>
    <row r="505" ht="13.2"/>
    <row r="506" ht="13.2"/>
    <row r="507" ht="13.2"/>
    <row r="508" ht="13.2"/>
    <row r="509" ht="13.2"/>
    <row r="510" ht="13.2"/>
    <row r="511" ht="13.2"/>
    <row r="512" ht="13.2"/>
    <row r="513" ht="13.2"/>
    <row r="514" ht="13.2"/>
    <row r="515" ht="13.2"/>
    <row r="516" ht="13.2"/>
    <row r="517" ht="13.2"/>
    <row r="518" ht="13.2"/>
    <row r="519" ht="13.2"/>
    <row r="520" ht="13.2"/>
    <row r="521" ht="13.2"/>
    <row r="522" ht="13.2"/>
    <row r="523" ht="13.2"/>
    <row r="524" ht="13.2"/>
    <row r="525" ht="13.2"/>
    <row r="526" ht="13.2"/>
    <row r="527" ht="13.2"/>
    <row r="528" ht="13.2"/>
    <row r="529" ht="13.2"/>
    <row r="530" ht="13.2"/>
    <row r="531" ht="13.2"/>
    <row r="532" ht="13.2"/>
    <row r="533" ht="13.2"/>
    <row r="534" ht="13.2"/>
    <row r="535" ht="13.2"/>
    <row r="536" ht="13.2"/>
    <row r="537" ht="13.2"/>
    <row r="538" ht="13.2"/>
    <row r="539" ht="13.2"/>
    <row r="540" ht="13.2"/>
    <row r="541" ht="13.2"/>
    <row r="542" ht="13.2"/>
    <row r="543" ht="13.2"/>
    <row r="544" ht="13.2"/>
    <row r="545" ht="13.2"/>
    <row r="546" ht="13.2"/>
    <row r="547" ht="13.2"/>
    <row r="548" ht="13.2"/>
    <row r="549" ht="13.2"/>
    <row r="550" ht="13.2"/>
    <row r="551" ht="13.2"/>
    <row r="552" ht="13.2"/>
    <row r="553" ht="13.2"/>
    <row r="554" ht="13.2"/>
    <row r="555" ht="13.2"/>
    <row r="556" ht="13.2"/>
    <row r="557" ht="13.2"/>
    <row r="558" ht="13.2"/>
    <row r="559" ht="13.2"/>
    <row r="560" ht="13.2"/>
    <row r="561" ht="13.2"/>
    <row r="562" ht="13.2"/>
    <row r="563" ht="13.2"/>
    <row r="564" ht="13.2"/>
    <row r="565" ht="13.2"/>
    <row r="566" ht="13.2"/>
    <row r="567" ht="13.2"/>
    <row r="568" ht="13.2"/>
    <row r="569" ht="13.2"/>
    <row r="570" ht="13.2"/>
    <row r="571" ht="13.2"/>
    <row r="572" ht="13.2"/>
    <row r="573" ht="13.2"/>
    <row r="574" ht="13.2"/>
    <row r="575" ht="13.2"/>
    <row r="576" ht="13.2"/>
    <row r="577" ht="13.2"/>
    <row r="578" ht="13.2"/>
    <row r="579" ht="13.2"/>
    <row r="580" ht="13.2"/>
    <row r="581" ht="13.2"/>
    <row r="582" ht="13.2"/>
    <row r="583" ht="13.2"/>
    <row r="584" ht="13.2"/>
    <row r="585" ht="13.2"/>
    <row r="586" ht="13.2"/>
    <row r="587" ht="13.2"/>
    <row r="588" ht="13.2"/>
    <row r="589" ht="13.2"/>
    <row r="590" ht="13.2"/>
    <row r="591" ht="13.2"/>
    <row r="592" ht="13.2"/>
    <row r="593" ht="13.2"/>
    <row r="594" ht="13.2"/>
    <row r="595" ht="13.2"/>
    <row r="596" ht="13.2"/>
    <row r="597" ht="13.2"/>
    <row r="598" ht="13.2"/>
    <row r="599" ht="13.2"/>
    <row r="600" ht="13.2"/>
    <row r="601" ht="13.2"/>
    <row r="602" ht="13.2"/>
    <row r="603" ht="13.2"/>
    <row r="604" ht="13.2"/>
    <row r="605" ht="13.2"/>
    <row r="606" ht="13.2"/>
    <row r="607" ht="13.2"/>
    <row r="608" ht="13.2"/>
    <row r="609" ht="13.2"/>
    <row r="610" ht="13.2"/>
    <row r="611" ht="13.2"/>
    <row r="612" ht="13.2"/>
    <row r="613" ht="13.2"/>
    <row r="614" ht="13.2"/>
    <row r="615" ht="13.2"/>
    <row r="616" ht="13.2"/>
    <row r="617" ht="13.2"/>
    <row r="618" ht="13.2"/>
    <row r="619" ht="13.2"/>
    <row r="620" ht="13.2"/>
    <row r="621" ht="13.2"/>
    <row r="622" ht="13.2"/>
    <row r="623" ht="13.2"/>
    <row r="624" ht="13.2"/>
    <row r="625" ht="13.2"/>
    <row r="626" ht="13.2"/>
    <row r="627" ht="13.2"/>
    <row r="628" ht="13.2"/>
    <row r="629" ht="13.2"/>
    <row r="630" ht="13.2"/>
    <row r="631" ht="13.2"/>
    <row r="632" ht="13.2"/>
    <row r="633" ht="13.2"/>
    <row r="634" ht="13.2"/>
    <row r="635" ht="13.2"/>
    <row r="636" ht="13.2"/>
    <row r="637" ht="13.2"/>
    <row r="638" ht="13.2"/>
    <row r="639" ht="13.2"/>
    <row r="640" ht="13.2"/>
    <row r="641" ht="13.2"/>
    <row r="642" ht="13.2"/>
    <row r="643" ht="13.2"/>
    <row r="644" ht="13.2"/>
    <row r="645" ht="13.2"/>
    <row r="646" ht="13.2"/>
    <row r="647" ht="13.2"/>
    <row r="648" ht="13.2"/>
    <row r="649" ht="13.2"/>
    <row r="650" ht="13.2"/>
    <row r="651" ht="13.2"/>
    <row r="652" ht="13.2"/>
    <row r="653" ht="13.2"/>
    <row r="654" ht="13.2"/>
    <row r="655" ht="13.2"/>
    <row r="656" ht="13.2"/>
    <row r="657" ht="13.2"/>
    <row r="658" ht="13.2"/>
    <row r="659" ht="13.2"/>
    <row r="660" ht="13.2"/>
    <row r="661" ht="13.2"/>
    <row r="662" ht="13.2"/>
    <row r="663" ht="13.2"/>
    <row r="664" ht="13.2"/>
    <row r="665" ht="13.2"/>
    <row r="666" ht="13.2"/>
    <row r="667" ht="13.2"/>
    <row r="668" ht="13.2"/>
    <row r="669" ht="13.2"/>
    <row r="670" ht="13.2"/>
    <row r="671" ht="13.2"/>
    <row r="672" ht="13.2"/>
    <row r="673" ht="13.2"/>
    <row r="674" ht="13.2"/>
    <row r="675" ht="13.2"/>
    <row r="676" ht="13.2"/>
    <row r="677" ht="13.2"/>
    <row r="678" ht="13.2"/>
    <row r="679" ht="13.2"/>
    <row r="680" ht="13.2"/>
    <row r="681" ht="13.2"/>
    <row r="682" ht="13.2"/>
    <row r="683" ht="13.2"/>
    <row r="684" ht="13.2"/>
    <row r="685" ht="13.2"/>
    <row r="686" ht="13.2"/>
    <row r="687" ht="13.2"/>
    <row r="688" ht="13.2"/>
    <row r="689" ht="13.2"/>
    <row r="690" ht="13.2"/>
    <row r="691" ht="13.2"/>
    <row r="692" ht="13.2"/>
    <row r="693" ht="13.2"/>
    <row r="694" ht="13.2"/>
    <row r="695" ht="13.2"/>
    <row r="696" ht="13.2"/>
    <row r="697" ht="13.2"/>
    <row r="698" ht="13.2"/>
    <row r="699" ht="13.2"/>
    <row r="700" ht="13.2"/>
    <row r="701" ht="13.2"/>
    <row r="702" ht="13.2"/>
    <row r="703" ht="13.2"/>
    <row r="704" ht="13.2"/>
    <row r="705" ht="13.2"/>
    <row r="706" ht="13.2"/>
    <row r="707" ht="13.2"/>
    <row r="708" ht="13.2"/>
    <row r="709" ht="13.2"/>
    <row r="710" ht="13.2"/>
    <row r="711" ht="13.2"/>
    <row r="712" ht="13.2"/>
    <row r="713" ht="13.2"/>
    <row r="714" ht="13.2"/>
    <row r="715" ht="13.2"/>
    <row r="716" ht="13.2"/>
    <row r="717" ht="13.2"/>
    <row r="718" ht="13.2"/>
    <row r="719" ht="13.2"/>
    <row r="720" ht="13.2"/>
    <row r="721" ht="13.2"/>
    <row r="722" ht="13.2"/>
    <row r="723" ht="13.2"/>
    <row r="724" ht="13.2"/>
    <row r="725" ht="13.2"/>
    <row r="726" ht="13.2"/>
    <row r="727" ht="13.2"/>
    <row r="728" ht="13.2"/>
    <row r="729" ht="13.2"/>
    <row r="730" ht="13.2"/>
    <row r="731" ht="13.2"/>
    <row r="732" ht="13.2"/>
    <row r="733" ht="13.2"/>
    <row r="734" ht="13.2"/>
    <row r="735" ht="13.2"/>
    <row r="736" ht="13.2"/>
    <row r="737" ht="13.2"/>
    <row r="738" ht="13.2"/>
    <row r="739" ht="13.2"/>
    <row r="740" ht="13.2"/>
    <row r="741" ht="13.2"/>
    <row r="742" ht="13.2"/>
    <row r="743" ht="13.2"/>
    <row r="744" ht="13.2"/>
    <row r="745" ht="13.2"/>
    <row r="746" ht="13.2"/>
    <row r="747" ht="13.2"/>
    <row r="748" ht="13.2"/>
    <row r="749" ht="13.2"/>
    <row r="750" ht="13.2"/>
    <row r="751" ht="13.2"/>
    <row r="752" ht="13.2"/>
    <row r="753" ht="13.2"/>
    <row r="754" ht="13.2"/>
    <row r="755" ht="13.2"/>
    <row r="756" ht="13.2"/>
    <row r="757" ht="13.2"/>
    <row r="758" ht="13.2"/>
    <row r="759" ht="13.2"/>
    <row r="760" ht="13.2"/>
    <row r="761" ht="13.2"/>
    <row r="762" ht="13.2"/>
    <row r="763" ht="13.2"/>
    <row r="764" ht="13.2"/>
    <row r="765" ht="13.2"/>
    <row r="766" ht="13.2"/>
    <row r="767" ht="13.2"/>
    <row r="768" ht="13.2"/>
    <row r="769" ht="13.2"/>
    <row r="770" ht="13.2"/>
    <row r="771" ht="13.2"/>
    <row r="772" ht="13.2"/>
    <row r="773" ht="13.2"/>
    <row r="774" ht="13.2"/>
    <row r="775" ht="13.2"/>
    <row r="776" ht="13.2"/>
    <row r="777" ht="13.2"/>
    <row r="778" ht="13.2"/>
    <row r="779" ht="13.2"/>
    <row r="780" ht="13.2"/>
    <row r="781" ht="13.2"/>
    <row r="782" ht="13.2"/>
    <row r="783" ht="13.2"/>
    <row r="784" ht="13.2"/>
    <row r="785" ht="13.2"/>
    <row r="786" ht="13.2"/>
    <row r="787" ht="13.2"/>
    <row r="788" ht="13.2"/>
    <row r="789" ht="13.2"/>
    <row r="790" ht="13.2"/>
    <row r="791" ht="13.2"/>
    <row r="792" ht="13.2"/>
    <row r="793" ht="13.2"/>
    <row r="794" ht="13.2"/>
    <row r="795" ht="13.2"/>
    <row r="796" ht="13.2"/>
    <row r="797" ht="13.2"/>
    <row r="798" ht="13.2"/>
    <row r="799" ht="13.2"/>
    <row r="800" ht="13.2"/>
    <row r="801" ht="13.2"/>
    <row r="802" ht="13.2"/>
    <row r="803" ht="13.2"/>
    <row r="804" ht="13.2"/>
    <row r="805" ht="13.2"/>
    <row r="806" ht="13.2"/>
    <row r="807" ht="13.2"/>
    <row r="808" ht="13.2"/>
    <row r="809" ht="13.2"/>
    <row r="810" ht="13.2"/>
    <row r="811" ht="13.2"/>
    <row r="812" ht="13.2"/>
    <row r="813" ht="13.2"/>
    <row r="814" ht="13.2"/>
    <row r="815" ht="13.2"/>
    <row r="816" ht="13.2"/>
    <row r="817" ht="13.2"/>
    <row r="818" ht="13.2"/>
    <row r="819" ht="13.2"/>
    <row r="820" ht="13.2"/>
    <row r="821" ht="13.2"/>
    <row r="822" ht="13.2"/>
    <row r="823" ht="13.2"/>
    <row r="824" ht="13.2"/>
    <row r="825" ht="13.2"/>
    <row r="826" ht="13.2"/>
    <row r="827" ht="13.2"/>
    <row r="828" ht="13.2"/>
    <row r="829" ht="13.2"/>
    <row r="830" ht="13.2"/>
    <row r="831" ht="13.2"/>
    <row r="832" ht="13.2"/>
    <row r="833" ht="13.2"/>
    <row r="834" ht="13.2"/>
    <row r="835" ht="13.2"/>
    <row r="836" ht="13.2"/>
    <row r="837" ht="13.2"/>
    <row r="838" ht="13.2"/>
    <row r="839" ht="13.2"/>
    <row r="840" ht="13.2"/>
    <row r="841" ht="13.2"/>
    <row r="842" ht="13.2"/>
    <row r="843" ht="13.2"/>
    <row r="844" ht="13.2"/>
    <row r="845" ht="13.2"/>
    <row r="846" ht="13.2"/>
    <row r="847" ht="13.2"/>
    <row r="848" ht="13.2"/>
    <row r="849" ht="13.2"/>
    <row r="850" ht="13.2"/>
    <row r="851" ht="13.2"/>
    <row r="852" ht="13.2"/>
    <row r="853" ht="13.2"/>
    <row r="854" ht="13.2"/>
    <row r="855" ht="13.2"/>
    <row r="856" ht="13.2"/>
    <row r="857" ht="13.2"/>
    <row r="858" ht="13.2"/>
    <row r="859" ht="13.2"/>
    <row r="860" ht="13.2"/>
    <row r="861" ht="13.2"/>
    <row r="862" ht="13.2"/>
    <row r="863" ht="13.2"/>
    <row r="864" ht="13.2"/>
    <row r="865" ht="13.2"/>
    <row r="866" ht="13.2"/>
    <row r="867" ht="13.2"/>
    <row r="868" ht="13.2"/>
    <row r="869" ht="13.2"/>
    <row r="870" ht="13.2"/>
    <row r="871" ht="13.2"/>
    <row r="872" ht="13.2"/>
    <row r="873" ht="13.2"/>
    <row r="874" ht="13.2"/>
    <row r="875" ht="13.2"/>
    <row r="876" ht="13.2"/>
    <row r="877" ht="13.2"/>
    <row r="878" ht="13.2"/>
    <row r="879" ht="13.2"/>
    <row r="880" ht="13.2"/>
    <row r="881" ht="13.2"/>
    <row r="882" ht="13.2"/>
    <row r="883" ht="13.2"/>
    <row r="884" ht="13.2"/>
    <row r="885" ht="13.2"/>
    <row r="886" ht="13.2"/>
    <row r="887" ht="13.2"/>
    <row r="888" ht="13.2"/>
    <row r="889" ht="13.2"/>
    <row r="890" ht="13.2"/>
    <row r="891" ht="13.2"/>
    <row r="892" ht="13.2"/>
    <row r="893" ht="13.2"/>
    <row r="894" ht="13.2"/>
    <row r="895" ht="13.2"/>
    <row r="896" ht="13.2"/>
    <row r="897" ht="13.2"/>
    <row r="898" ht="13.2"/>
    <row r="899" ht="13.2"/>
    <row r="900" ht="13.2"/>
    <row r="901" ht="13.2"/>
    <row r="902" ht="13.2"/>
    <row r="903" ht="13.2"/>
    <row r="904" ht="13.2"/>
    <row r="905" ht="13.2"/>
    <row r="906" ht="13.2"/>
    <row r="907" ht="13.2"/>
    <row r="908" ht="13.2"/>
    <row r="909" ht="13.2"/>
    <row r="910" ht="13.2"/>
    <row r="911" ht="13.2"/>
    <row r="912" ht="13.2"/>
    <row r="913" ht="13.2"/>
    <row r="914" ht="13.2"/>
    <row r="915" ht="13.2"/>
    <row r="916" ht="13.2"/>
    <row r="917" ht="13.2"/>
    <row r="918" ht="13.2"/>
    <row r="919" ht="13.2"/>
    <row r="920" ht="13.2"/>
    <row r="921" ht="13.2"/>
    <row r="922" ht="13.2"/>
    <row r="923" ht="13.2"/>
    <row r="924" ht="13.2"/>
    <row r="925" ht="13.2"/>
    <row r="926" ht="13.2"/>
    <row r="927" ht="13.2"/>
    <row r="928" ht="13.2"/>
    <row r="929" ht="13.2"/>
    <row r="930" ht="13.2"/>
    <row r="931" ht="13.2"/>
    <row r="932" ht="13.2"/>
    <row r="933" ht="13.2"/>
    <row r="934" ht="13.2"/>
    <row r="935" ht="13.2"/>
    <row r="936" ht="13.2"/>
    <row r="937" ht="13.2"/>
    <row r="938" ht="13.2"/>
    <row r="939" ht="13.2"/>
    <row r="940" ht="13.2"/>
    <row r="941" ht="13.2"/>
    <row r="942" ht="13.2"/>
    <row r="943" ht="13.2"/>
    <row r="944" ht="13.2"/>
    <row r="945" ht="13.2"/>
    <row r="946" ht="13.2"/>
    <row r="947" ht="13.2"/>
    <row r="948" ht="13.2"/>
    <row r="949" ht="13.2"/>
    <row r="950" ht="13.2"/>
    <row r="951" ht="13.2"/>
    <row r="952" ht="13.2"/>
    <row r="953" ht="13.2"/>
    <row r="954" ht="13.2"/>
    <row r="955" ht="13.2"/>
    <row r="956" ht="13.2"/>
    <row r="957" ht="13.2"/>
    <row r="958" ht="13.2"/>
    <row r="959" ht="13.2"/>
    <row r="960" ht="13.2"/>
    <row r="961" ht="13.2"/>
    <row r="962" ht="13.2"/>
    <row r="963" ht="13.2"/>
    <row r="964" ht="13.2"/>
    <row r="965" ht="13.2"/>
    <row r="966" ht="13.2"/>
    <row r="967" ht="13.2"/>
    <row r="968" ht="13.2"/>
    <row r="969" ht="13.2"/>
    <row r="970" ht="13.2"/>
    <row r="971" ht="13.2"/>
    <row r="972" ht="13.2"/>
    <row r="973" ht="13.2"/>
    <row r="974" ht="13.2"/>
    <row r="975" ht="13.2"/>
    <row r="976" ht="13.2"/>
    <row r="977" ht="13.2"/>
    <row r="978" ht="13.2"/>
    <row r="979" ht="13.2"/>
    <row r="980" ht="13.2"/>
    <row r="981" ht="13.2"/>
    <row r="982" ht="13.2"/>
    <row r="983" ht="13.2"/>
    <row r="984" ht="13.2"/>
    <row r="985" ht="13.2"/>
    <row r="986" ht="13.2"/>
    <row r="987" ht="13.2"/>
    <row r="988" ht="13.2"/>
    <row r="989" ht="13.2"/>
    <row r="990" ht="13.2"/>
    <row r="991" ht="13.2"/>
    <row r="992" ht="13.2"/>
    <row r="993" ht="13.2"/>
    <row r="994" ht="13.2"/>
    <row r="995" ht="13.2"/>
    <row r="996" ht="13.2"/>
    <row r="997" ht="13.2"/>
    <row r="998" ht="13.2"/>
    <row r="999" ht="13.2"/>
    <row r="1000" ht="13.2"/>
    <row r="1001" ht="13.2"/>
  </sheetData>
  <mergeCells count="24">
    <mergeCell ref="A9:E9"/>
    <mergeCell ref="S3:S4"/>
    <mergeCell ref="AF3:AF4"/>
    <mergeCell ref="W3:W4"/>
    <mergeCell ref="Z3:Z4"/>
    <mergeCell ref="AC3:AC4"/>
    <mergeCell ref="T3:T4"/>
    <mergeCell ref="X3:X4"/>
    <mergeCell ref="AA3:AA4"/>
    <mergeCell ref="AD3:AD4"/>
    <mergeCell ref="U3:U4"/>
    <mergeCell ref="G3:G4"/>
    <mergeCell ref="H3:H4"/>
    <mergeCell ref="K3:K4"/>
    <mergeCell ref="N3:N4"/>
    <mergeCell ref="Q3:Q4"/>
    <mergeCell ref="J3:J4"/>
    <mergeCell ref="M3:M4"/>
    <mergeCell ref="P3:P4"/>
    <mergeCell ref="A3:A4"/>
    <mergeCell ref="B3:B4"/>
    <mergeCell ref="C3:C4"/>
    <mergeCell ref="D3:D4"/>
    <mergeCell ref="E3:E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5"/>
  <sheetViews>
    <sheetView workbookViewId="0"/>
  </sheetViews>
  <sheetFormatPr defaultColWidth="13.44140625" defaultRowHeight="14.25" customHeight="1"/>
  <cols>
    <col min="1" max="1" width="3" customWidth="1"/>
    <col min="2" max="2" width="42.88671875" customWidth="1"/>
    <col min="3" max="3" width="56.5546875" style="3" customWidth="1"/>
    <col min="4" max="4" width="39.88671875" customWidth="1"/>
    <col min="5" max="5" width="15" style="2" customWidth="1"/>
    <col min="6" max="6" width="18.44140625" style="2" customWidth="1"/>
    <col min="7" max="7" width="29.88671875" customWidth="1"/>
    <col min="8" max="8" width="22.109375" customWidth="1"/>
    <col min="9" max="9" width="16.44140625" customWidth="1"/>
  </cols>
  <sheetData>
    <row r="1" spans="1:9" ht="44.25" customHeight="1">
      <c r="A1" s="107" t="s">
        <v>30</v>
      </c>
      <c r="B1" s="108"/>
      <c r="C1" s="108"/>
      <c r="D1" s="108"/>
      <c r="E1" s="108"/>
      <c r="F1" s="108"/>
      <c r="G1" s="108"/>
      <c r="H1" s="108"/>
      <c r="I1" s="109"/>
    </row>
    <row r="2" spans="1:9" ht="13.2">
      <c r="A2" s="65" t="s">
        <v>18</v>
      </c>
      <c r="B2" s="65" t="s">
        <v>71</v>
      </c>
      <c r="C2" s="37" t="s">
        <v>23</v>
      </c>
      <c r="D2" s="65" t="s">
        <v>24</v>
      </c>
      <c r="E2" s="65" t="s">
        <v>66</v>
      </c>
      <c r="F2" s="65" t="s">
        <v>162</v>
      </c>
      <c r="G2" s="65" t="s">
        <v>25</v>
      </c>
      <c r="H2" s="65" t="s">
        <v>26</v>
      </c>
      <c r="I2" s="65" t="s">
        <v>32</v>
      </c>
    </row>
    <row r="3" spans="1:9" ht="79.2">
      <c r="A3" s="66">
        <v>1</v>
      </c>
      <c r="B3" s="67" t="s">
        <v>84</v>
      </c>
      <c r="C3" s="68" t="s">
        <v>257</v>
      </c>
      <c r="D3" s="82" t="s">
        <v>70</v>
      </c>
      <c r="E3" s="69" t="s">
        <v>68</v>
      </c>
      <c r="F3" s="69" t="s">
        <v>88</v>
      </c>
      <c r="G3" s="70">
        <v>27900</v>
      </c>
      <c r="H3" s="69" t="s">
        <v>28</v>
      </c>
      <c r="I3" s="70">
        <v>27900</v>
      </c>
    </row>
    <row r="4" spans="1:9" ht="35.25" customHeight="1">
      <c r="A4" s="66">
        <v>2</v>
      </c>
      <c r="B4" s="67" t="s">
        <v>76</v>
      </c>
      <c r="C4" s="13" t="s">
        <v>134</v>
      </c>
      <c r="D4" s="82" t="s">
        <v>77</v>
      </c>
      <c r="E4" s="69" t="s">
        <v>68</v>
      </c>
      <c r="F4" s="69" t="s">
        <v>89</v>
      </c>
      <c r="G4" s="84">
        <v>0</v>
      </c>
      <c r="H4" s="69" t="s">
        <v>28</v>
      </c>
      <c r="I4" s="87"/>
    </row>
    <row r="5" spans="1:9" ht="39.6">
      <c r="A5" s="66">
        <v>3</v>
      </c>
      <c r="B5" s="38" t="s">
        <v>78</v>
      </c>
      <c r="C5" s="13" t="s">
        <v>136</v>
      </c>
      <c r="D5" s="82" t="s">
        <v>79</v>
      </c>
      <c r="E5" s="69" t="s">
        <v>68</v>
      </c>
      <c r="F5" s="69" t="s">
        <v>89</v>
      </c>
      <c r="G5" s="84">
        <v>0</v>
      </c>
      <c r="H5" s="69" t="s">
        <v>28</v>
      </c>
      <c r="I5" s="87"/>
    </row>
    <row r="6" spans="1:9" ht="26.4">
      <c r="A6" s="66">
        <v>4</v>
      </c>
      <c r="B6" s="38" t="s">
        <v>81</v>
      </c>
      <c r="C6" s="13" t="s">
        <v>141</v>
      </c>
      <c r="D6" s="82" t="s">
        <v>80</v>
      </c>
      <c r="E6" s="69" t="s">
        <v>68</v>
      </c>
      <c r="F6" s="69" t="s">
        <v>88</v>
      </c>
      <c r="G6" s="70">
        <v>27900</v>
      </c>
      <c r="H6" s="69" t="s">
        <v>28</v>
      </c>
      <c r="I6" s="70">
        <v>27900</v>
      </c>
    </row>
    <row r="7" spans="1:9" ht="39.6">
      <c r="A7" s="66">
        <v>5</v>
      </c>
      <c r="B7" s="67" t="s">
        <v>85</v>
      </c>
      <c r="C7" s="13" t="s">
        <v>86</v>
      </c>
      <c r="D7" s="82" t="s">
        <v>83</v>
      </c>
      <c r="E7" s="69" t="s">
        <v>68</v>
      </c>
      <c r="F7" s="69" t="s">
        <v>89</v>
      </c>
      <c r="G7" s="84">
        <v>0</v>
      </c>
      <c r="H7" s="69" t="s">
        <v>28</v>
      </c>
      <c r="I7" s="87"/>
    </row>
    <row r="8" spans="1:9" ht="23.25" customHeight="1">
      <c r="A8" s="71"/>
      <c r="B8" s="72" t="s">
        <v>55</v>
      </c>
      <c r="C8" s="104"/>
      <c r="D8" s="105"/>
      <c r="E8" s="105"/>
      <c r="F8" s="106"/>
      <c r="G8" s="73">
        <f>SUM(G3:G7)</f>
        <v>55800</v>
      </c>
      <c r="H8" s="69"/>
      <c r="I8" s="74">
        <f>SUM(I3:I7)</f>
        <v>55800</v>
      </c>
    </row>
    <row r="9" spans="1:9" ht="52.5" customHeight="1">
      <c r="A9" s="107" t="s">
        <v>166</v>
      </c>
      <c r="B9" s="108"/>
      <c r="C9" s="108"/>
      <c r="D9" s="108"/>
      <c r="E9" s="108"/>
      <c r="F9" s="108"/>
      <c r="G9" s="108"/>
      <c r="H9" s="108"/>
      <c r="I9" s="109"/>
    </row>
    <row r="10" spans="1:9" ht="13.2">
      <c r="A10" s="75" t="s">
        <v>18</v>
      </c>
      <c r="B10" s="75" t="s">
        <v>19</v>
      </c>
      <c r="C10" s="76" t="s">
        <v>23</v>
      </c>
      <c r="D10" s="75" t="s">
        <v>24</v>
      </c>
      <c r="E10" s="65" t="s">
        <v>66</v>
      </c>
      <c r="F10" s="65" t="s">
        <v>162</v>
      </c>
      <c r="G10" s="65" t="s">
        <v>25</v>
      </c>
      <c r="H10" s="65" t="s">
        <v>26</v>
      </c>
      <c r="I10" s="65" t="s">
        <v>32</v>
      </c>
    </row>
    <row r="11" spans="1:9" ht="145.19999999999999">
      <c r="A11" s="69">
        <v>1</v>
      </c>
      <c r="B11" s="77" t="s">
        <v>50</v>
      </c>
      <c r="C11" s="9" t="s">
        <v>155</v>
      </c>
      <c r="D11" s="82" t="s">
        <v>156</v>
      </c>
      <c r="E11" s="69" t="s">
        <v>157</v>
      </c>
      <c r="F11" s="69" t="s">
        <v>88</v>
      </c>
      <c r="G11" s="8" t="s">
        <v>228</v>
      </c>
      <c r="H11" s="83" t="s">
        <v>232</v>
      </c>
      <c r="I11" s="70" t="s">
        <v>34</v>
      </c>
    </row>
    <row r="12" spans="1:9" ht="132">
      <c r="A12" s="69">
        <v>2</v>
      </c>
      <c r="B12" s="78" t="s">
        <v>49</v>
      </c>
      <c r="C12" s="9" t="s">
        <v>143</v>
      </c>
      <c r="D12" s="82" t="s">
        <v>93</v>
      </c>
      <c r="E12" s="69" t="s">
        <v>68</v>
      </c>
      <c r="F12" s="69" t="s">
        <v>88</v>
      </c>
      <c r="G12" s="8" t="s">
        <v>169</v>
      </c>
      <c r="H12" s="8" t="s">
        <v>256</v>
      </c>
      <c r="I12" s="84">
        <v>1590264</v>
      </c>
    </row>
    <row r="13" spans="1:9" ht="66">
      <c r="A13" s="69">
        <v>3</v>
      </c>
      <c r="B13" s="79" t="s">
        <v>33</v>
      </c>
      <c r="C13" s="9" t="s">
        <v>96</v>
      </c>
      <c r="D13" s="82" t="s">
        <v>94</v>
      </c>
      <c r="E13" s="69" t="s">
        <v>68</v>
      </c>
      <c r="F13" s="69" t="s">
        <v>88</v>
      </c>
      <c r="G13" s="70">
        <v>27900</v>
      </c>
      <c r="H13" s="69" t="s">
        <v>28</v>
      </c>
      <c r="I13" s="70">
        <v>27900</v>
      </c>
    </row>
    <row r="14" spans="1:9" ht="39.6">
      <c r="A14" s="69">
        <v>4</v>
      </c>
      <c r="B14" s="67" t="s">
        <v>85</v>
      </c>
      <c r="C14" s="13" t="s">
        <v>86</v>
      </c>
      <c r="D14" s="82" t="s">
        <v>83</v>
      </c>
      <c r="E14" s="69" t="s">
        <v>68</v>
      </c>
      <c r="F14" s="69" t="s">
        <v>89</v>
      </c>
      <c r="G14" s="84">
        <v>0</v>
      </c>
      <c r="H14" s="69" t="s">
        <v>28</v>
      </c>
      <c r="I14" s="84">
        <v>0</v>
      </c>
    </row>
    <row r="15" spans="1:9" ht="13.2">
      <c r="A15" s="69">
        <v>5</v>
      </c>
      <c r="B15" s="79" t="s">
        <v>35</v>
      </c>
      <c r="C15" s="9" t="s">
        <v>174</v>
      </c>
      <c r="D15" s="82" t="s">
        <v>173</v>
      </c>
      <c r="E15" s="69" t="s">
        <v>175</v>
      </c>
      <c r="F15" s="69"/>
      <c r="G15" s="84" t="s">
        <v>178</v>
      </c>
      <c r="H15" s="83" t="s">
        <v>232</v>
      </c>
      <c r="I15" s="84" t="s">
        <v>34</v>
      </c>
    </row>
    <row r="16" spans="1:9" ht="39.6">
      <c r="A16" s="69">
        <v>6</v>
      </c>
      <c r="B16" s="80" t="s">
        <v>41</v>
      </c>
      <c r="C16" s="9" t="s">
        <v>183</v>
      </c>
      <c r="D16" s="79"/>
      <c r="E16" s="85"/>
      <c r="F16" s="69" t="s">
        <v>88</v>
      </c>
      <c r="G16" s="84">
        <v>24000</v>
      </c>
      <c r="H16" s="83" t="s">
        <v>232</v>
      </c>
      <c r="I16" s="84" t="s">
        <v>34</v>
      </c>
    </row>
    <row r="17" spans="1:9" ht="66">
      <c r="A17" s="69">
        <v>7</v>
      </c>
      <c r="B17" s="80" t="s">
        <v>42</v>
      </c>
      <c r="C17" s="9" t="s">
        <v>171</v>
      </c>
      <c r="D17" s="86" t="s">
        <v>172</v>
      </c>
      <c r="E17" s="87" t="s">
        <v>68</v>
      </c>
      <c r="F17" s="69" t="s">
        <v>88</v>
      </c>
      <c r="G17" s="70">
        <v>19400</v>
      </c>
      <c r="H17" s="69" t="s">
        <v>28</v>
      </c>
      <c r="I17" s="84">
        <v>19400</v>
      </c>
    </row>
    <row r="18" spans="1:9" ht="39.6">
      <c r="A18" s="69">
        <v>8</v>
      </c>
      <c r="B18" s="79" t="s">
        <v>45</v>
      </c>
      <c r="C18" s="9" t="s">
        <v>100</v>
      </c>
      <c r="D18" s="82" t="s">
        <v>101</v>
      </c>
      <c r="E18" s="69" t="s">
        <v>68</v>
      </c>
      <c r="F18" s="69" t="s">
        <v>89</v>
      </c>
      <c r="G18" s="84">
        <v>0</v>
      </c>
      <c r="H18" s="69" t="s">
        <v>28</v>
      </c>
      <c r="I18" s="84">
        <v>0</v>
      </c>
    </row>
    <row r="19" spans="1:9" ht="13.2">
      <c r="A19" s="69">
        <v>9</v>
      </c>
      <c r="B19" s="38" t="s">
        <v>81</v>
      </c>
      <c r="C19" s="13" t="s">
        <v>82</v>
      </c>
      <c r="D19" s="82" t="s">
        <v>80</v>
      </c>
      <c r="E19" s="69" t="s">
        <v>68</v>
      </c>
      <c r="F19" s="69" t="s">
        <v>88</v>
      </c>
      <c r="G19" s="70">
        <v>27900</v>
      </c>
      <c r="H19" s="69" t="s">
        <v>28</v>
      </c>
      <c r="I19" s="84">
        <v>27900</v>
      </c>
    </row>
    <row r="20" spans="1:9" ht="26.4">
      <c r="A20" s="69">
        <v>10</v>
      </c>
      <c r="B20" s="79" t="s">
        <v>48</v>
      </c>
      <c r="C20" s="7" t="s">
        <v>105</v>
      </c>
      <c r="D20" s="82" t="s">
        <v>103</v>
      </c>
      <c r="E20" s="69" t="s">
        <v>68</v>
      </c>
      <c r="F20" s="69" t="s">
        <v>88</v>
      </c>
      <c r="G20" s="70">
        <v>19400</v>
      </c>
      <c r="H20" s="69" t="s">
        <v>28</v>
      </c>
      <c r="I20" s="84">
        <v>19400</v>
      </c>
    </row>
    <row r="21" spans="1:9" ht="26.4">
      <c r="A21" s="69">
        <v>11</v>
      </c>
      <c r="B21" s="79" t="s">
        <v>106</v>
      </c>
      <c r="C21" s="7" t="s">
        <v>108</v>
      </c>
      <c r="D21" s="82" t="s">
        <v>107</v>
      </c>
      <c r="E21" s="69" t="s">
        <v>68</v>
      </c>
      <c r="F21" s="69" t="s">
        <v>88</v>
      </c>
      <c r="G21" s="84" t="s">
        <v>219</v>
      </c>
      <c r="H21" s="69" t="s">
        <v>28</v>
      </c>
      <c r="I21" s="70">
        <v>7680</v>
      </c>
    </row>
    <row r="22" spans="1:9" ht="26.4">
      <c r="A22" s="69">
        <v>12</v>
      </c>
      <c r="B22" s="79" t="s">
        <v>110</v>
      </c>
      <c r="C22" s="9" t="s">
        <v>112</v>
      </c>
      <c r="D22" s="82" t="s">
        <v>113</v>
      </c>
      <c r="E22" s="69" t="s">
        <v>68</v>
      </c>
      <c r="F22" s="69" t="s">
        <v>88</v>
      </c>
      <c r="G22" s="84" t="s">
        <v>182</v>
      </c>
      <c r="H22" s="69" t="s">
        <v>28</v>
      </c>
      <c r="I22" s="84">
        <v>29000</v>
      </c>
    </row>
    <row r="23" spans="1:9" ht="13.2">
      <c r="A23" s="69">
        <v>13</v>
      </c>
      <c r="B23" s="79" t="s">
        <v>118</v>
      </c>
      <c r="C23" s="7" t="s">
        <v>123</v>
      </c>
      <c r="D23" s="82" t="s">
        <v>124</v>
      </c>
      <c r="E23" s="69" t="s">
        <v>68</v>
      </c>
      <c r="F23" s="69" t="s">
        <v>89</v>
      </c>
      <c r="G23" s="70">
        <v>0</v>
      </c>
      <c r="H23" s="69" t="s">
        <v>28</v>
      </c>
      <c r="I23" s="84">
        <v>0</v>
      </c>
    </row>
    <row r="24" spans="1:9" ht="26.4">
      <c r="A24" s="69">
        <v>14</v>
      </c>
      <c r="B24" s="79" t="s">
        <v>117</v>
      </c>
      <c r="C24" s="9" t="s">
        <v>112</v>
      </c>
      <c r="D24" s="82" t="s">
        <v>125</v>
      </c>
      <c r="E24" s="69" t="s">
        <v>68</v>
      </c>
      <c r="F24" s="69" t="s">
        <v>88</v>
      </c>
      <c r="G24" s="84" t="s">
        <v>181</v>
      </c>
      <c r="H24" s="69" t="s">
        <v>28</v>
      </c>
      <c r="I24" s="84">
        <v>38000</v>
      </c>
    </row>
    <row r="25" spans="1:9" ht="26.4">
      <c r="A25" s="69">
        <v>15</v>
      </c>
      <c r="B25" s="7" t="s">
        <v>152</v>
      </c>
      <c r="C25" s="9" t="s">
        <v>153</v>
      </c>
      <c r="D25" s="82" t="s">
        <v>154</v>
      </c>
      <c r="E25" s="69" t="s">
        <v>68</v>
      </c>
      <c r="F25" s="69" t="s">
        <v>88</v>
      </c>
      <c r="G25" s="84" t="s">
        <v>179</v>
      </c>
      <c r="H25" s="69" t="s">
        <v>28</v>
      </c>
      <c r="I25" s="84">
        <v>36000</v>
      </c>
    </row>
    <row r="26" spans="1:9" ht="66">
      <c r="A26" s="69">
        <v>16</v>
      </c>
      <c r="B26" s="79" t="s">
        <v>114</v>
      </c>
      <c r="C26" s="9" t="s">
        <v>115</v>
      </c>
      <c r="D26" s="82" t="s">
        <v>116</v>
      </c>
      <c r="E26" s="69" t="s">
        <v>68</v>
      </c>
      <c r="F26" s="69" t="s">
        <v>88</v>
      </c>
      <c r="G26" s="70">
        <v>14400</v>
      </c>
      <c r="H26" s="69" t="s">
        <v>28</v>
      </c>
      <c r="I26" s="70">
        <v>14400</v>
      </c>
    </row>
    <row r="27" spans="1:9" ht="66">
      <c r="A27" s="69">
        <v>17</v>
      </c>
      <c r="B27" s="79" t="s">
        <v>120</v>
      </c>
      <c r="C27" s="9" t="s">
        <v>121</v>
      </c>
      <c r="D27" s="82" t="s">
        <v>122</v>
      </c>
      <c r="E27" s="69" t="s">
        <v>68</v>
      </c>
      <c r="F27" s="69" t="s">
        <v>88</v>
      </c>
      <c r="G27" s="70">
        <v>14400</v>
      </c>
      <c r="H27" s="69" t="s">
        <v>28</v>
      </c>
      <c r="I27" s="70">
        <v>14400</v>
      </c>
    </row>
    <row r="28" spans="1:9" ht="26.4">
      <c r="A28" s="69">
        <v>18</v>
      </c>
      <c r="B28" s="79" t="s">
        <v>127</v>
      </c>
      <c r="C28" s="9" t="s">
        <v>128</v>
      </c>
      <c r="D28" s="86" t="s">
        <v>126</v>
      </c>
      <c r="E28" s="69" t="s">
        <v>68</v>
      </c>
      <c r="F28" s="69" t="s">
        <v>88</v>
      </c>
      <c r="G28" s="84">
        <v>19400</v>
      </c>
      <c r="H28" s="69" t="s">
        <v>28</v>
      </c>
      <c r="I28" s="84">
        <v>19400</v>
      </c>
    </row>
    <row r="29" spans="1:9" ht="23.25" customHeight="1">
      <c r="A29" s="115" t="s">
        <v>55</v>
      </c>
      <c r="B29" s="115"/>
      <c r="C29" s="113"/>
      <c r="D29" s="114"/>
      <c r="E29" s="114"/>
      <c r="F29" s="79" t="s">
        <v>258</v>
      </c>
      <c r="G29" s="73">
        <v>2770360</v>
      </c>
      <c r="H29" s="69"/>
      <c r="I29" s="89">
        <v>1843744</v>
      </c>
    </row>
    <row r="30" spans="1:9" ht="23.25" customHeight="1">
      <c r="A30" s="115"/>
      <c r="B30" s="115"/>
      <c r="C30" s="114"/>
      <c r="D30" s="114"/>
      <c r="E30" s="114"/>
      <c r="F30" s="59" t="s">
        <v>259</v>
      </c>
      <c r="G30" s="73">
        <v>6777480</v>
      </c>
      <c r="H30" s="53"/>
      <c r="I30" s="89">
        <v>253480</v>
      </c>
    </row>
    <row r="31" spans="1:9" ht="40.5" customHeight="1">
      <c r="A31" s="110" t="s">
        <v>31</v>
      </c>
      <c r="B31" s="111"/>
      <c r="C31" s="111"/>
      <c r="D31" s="111"/>
      <c r="E31" s="111"/>
      <c r="F31" s="111"/>
      <c r="G31" s="111"/>
      <c r="H31" s="111"/>
      <c r="I31" s="112"/>
    </row>
    <row r="32" spans="1:9" ht="13.2">
      <c r="A32" s="75" t="s">
        <v>18</v>
      </c>
      <c r="B32" s="75" t="s">
        <v>19</v>
      </c>
      <c r="C32" s="81" t="s">
        <v>23</v>
      </c>
      <c r="D32" s="75" t="s">
        <v>24</v>
      </c>
      <c r="E32" s="65" t="s">
        <v>66</v>
      </c>
      <c r="F32" s="65" t="s">
        <v>162</v>
      </c>
      <c r="G32" s="65" t="s">
        <v>25</v>
      </c>
      <c r="H32" s="65" t="s">
        <v>26</v>
      </c>
      <c r="I32" s="65" t="s">
        <v>32</v>
      </c>
    </row>
    <row r="33" spans="1:9" ht="105.6">
      <c r="A33" s="69">
        <v>1</v>
      </c>
      <c r="B33" s="77" t="s">
        <v>50</v>
      </c>
      <c r="C33" s="9" t="s">
        <v>155</v>
      </c>
      <c r="D33" s="82" t="s">
        <v>156</v>
      </c>
      <c r="E33" s="69" t="s">
        <v>157</v>
      </c>
      <c r="F33" s="69" t="s">
        <v>88</v>
      </c>
      <c r="G33" s="8" t="s">
        <v>252</v>
      </c>
      <c r="H33" s="83" t="s">
        <v>232</v>
      </c>
      <c r="I33" s="70" t="s">
        <v>34</v>
      </c>
    </row>
    <row r="34" spans="1:9" ht="132">
      <c r="A34" s="69">
        <v>2</v>
      </c>
      <c r="B34" s="78" t="s">
        <v>49</v>
      </c>
      <c r="C34" s="9" t="s">
        <v>143</v>
      </c>
      <c r="D34" s="82" t="s">
        <v>93</v>
      </c>
      <c r="E34" s="69" t="s">
        <v>68</v>
      </c>
      <c r="F34" s="69" t="s">
        <v>88</v>
      </c>
      <c r="G34" s="8" t="s">
        <v>253</v>
      </c>
      <c r="H34" s="8" t="s">
        <v>255</v>
      </c>
      <c r="I34" s="84">
        <v>856296</v>
      </c>
    </row>
    <row r="35" spans="1:9" ht="66">
      <c r="A35" s="69">
        <v>3</v>
      </c>
      <c r="B35" s="79" t="s">
        <v>33</v>
      </c>
      <c r="C35" s="9" t="s">
        <v>96</v>
      </c>
      <c r="D35" s="82" t="s">
        <v>94</v>
      </c>
      <c r="E35" s="69" t="s">
        <v>68</v>
      </c>
      <c r="F35" s="69" t="s">
        <v>88</v>
      </c>
      <c r="G35" s="70">
        <v>27900</v>
      </c>
      <c r="H35" s="69" t="s">
        <v>28</v>
      </c>
      <c r="I35" s="70">
        <v>27900</v>
      </c>
    </row>
    <row r="36" spans="1:9" ht="39.6">
      <c r="A36" s="69">
        <v>4</v>
      </c>
      <c r="B36" s="67" t="s">
        <v>85</v>
      </c>
      <c r="C36" s="13" t="s">
        <v>86</v>
      </c>
      <c r="D36" s="82" t="s">
        <v>83</v>
      </c>
      <c r="E36" s="69" t="s">
        <v>68</v>
      </c>
      <c r="F36" s="69" t="s">
        <v>89</v>
      </c>
      <c r="G36" s="84">
        <v>0</v>
      </c>
      <c r="H36" s="69" t="s">
        <v>28</v>
      </c>
      <c r="I36" s="84">
        <v>0</v>
      </c>
    </row>
    <row r="37" spans="1:9" ht="13.2">
      <c r="A37" s="69">
        <v>5</v>
      </c>
      <c r="B37" s="79" t="s">
        <v>35</v>
      </c>
      <c r="C37" s="9" t="s">
        <v>174</v>
      </c>
      <c r="D37" s="82" t="s">
        <v>173</v>
      </c>
      <c r="E37" s="69" t="s">
        <v>175</v>
      </c>
      <c r="F37" s="69"/>
      <c r="G37" s="84" t="s">
        <v>178</v>
      </c>
      <c r="H37" s="83" t="s">
        <v>232</v>
      </c>
      <c r="I37" s="84" t="s">
        <v>34</v>
      </c>
    </row>
    <row r="38" spans="1:9" ht="39.6">
      <c r="A38" s="69">
        <v>6</v>
      </c>
      <c r="B38" s="80" t="s">
        <v>41</v>
      </c>
      <c r="C38" s="9" t="s">
        <v>183</v>
      </c>
      <c r="D38" s="79"/>
      <c r="E38" s="85"/>
      <c r="F38" s="69">
        <v>12</v>
      </c>
      <c r="G38" s="84">
        <v>24000</v>
      </c>
      <c r="H38" s="83" t="s">
        <v>232</v>
      </c>
      <c r="I38" s="84" t="s">
        <v>34</v>
      </c>
    </row>
    <row r="39" spans="1:9" ht="66">
      <c r="A39" s="69">
        <v>7</v>
      </c>
      <c r="B39" s="80" t="s">
        <v>42</v>
      </c>
      <c r="C39" s="9" t="s">
        <v>171</v>
      </c>
      <c r="D39" s="86" t="s">
        <v>172</v>
      </c>
      <c r="E39" s="87" t="s">
        <v>68</v>
      </c>
      <c r="F39" s="69" t="s">
        <v>88</v>
      </c>
      <c r="G39" s="70">
        <v>19400</v>
      </c>
      <c r="H39" s="69" t="s">
        <v>28</v>
      </c>
      <c r="I39" s="84">
        <v>19400</v>
      </c>
    </row>
    <row r="40" spans="1:9" ht="39.6">
      <c r="A40" s="69">
        <v>8</v>
      </c>
      <c r="B40" s="79" t="s">
        <v>45</v>
      </c>
      <c r="C40" s="9" t="s">
        <v>100</v>
      </c>
      <c r="D40" s="82" t="s">
        <v>101</v>
      </c>
      <c r="E40" s="69" t="s">
        <v>68</v>
      </c>
      <c r="F40" s="69" t="s">
        <v>89</v>
      </c>
      <c r="G40" s="84">
        <v>0</v>
      </c>
      <c r="H40" s="69" t="s">
        <v>28</v>
      </c>
      <c r="I40" s="84">
        <v>0</v>
      </c>
    </row>
    <row r="41" spans="1:9" ht="13.2">
      <c r="A41" s="69">
        <v>9</v>
      </c>
      <c r="B41" s="38" t="s">
        <v>81</v>
      </c>
      <c r="C41" s="13" t="s">
        <v>82</v>
      </c>
      <c r="D41" s="82" t="s">
        <v>80</v>
      </c>
      <c r="E41" s="69" t="s">
        <v>68</v>
      </c>
      <c r="F41" s="69" t="s">
        <v>88</v>
      </c>
      <c r="G41" s="70">
        <v>27900</v>
      </c>
      <c r="H41" s="69" t="s">
        <v>28</v>
      </c>
      <c r="I41" s="84">
        <v>27900</v>
      </c>
    </row>
    <row r="42" spans="1:9" ht="26.4">
      <c r="A42" s="69">
        <v>10</v>
      </c>
      <c r="B42" s="79" t="s">
        <v>48</v>
      </c>
      <c r="C42" s="7" t="s">
        <v>105</v>
      </c>
      <c r="D42" s="82" t="s">
        <v>103</v>
      </c>
      <c r="E42" s="69" t="s">
        <v>68</v>
      </c>
      <c r="F42" s="69" t="s">
        <v>88</v>
      </c>
      <c r="G42" s="70">
        <v>19400</v>
      </c>
      <c r="H42" s="69" t="s">
        <v>28</v>
      </c>
      <c r="I42" s="84">
        <v>19400</v>
      </c>
    </row>
    <row r="43" spans="1:9" ht="26.4">
      <c r="A43" s="69">
        <v>11</v>
      </c>
      <c r="B43" s="79" t="s">
        <v>106</v>
      </c>
      <c r="C43" s="7" t="s">
        <v>108</v>
      </c>
      <c r="D43" s="82" t="s">
        <v>107</v>
      </c>
      <c r="E43" s="69" t="s">
        <v>68</v>
      </c>
      <c r="F43" s="69" t="s">
        <v>88</v>
      </c>
      <c r="G43" s="84" t="s">
        <v>219</v>
      </c>
      <c r="H43" s="69" t="s">
        <v>28</v>
      </c>
      <c r="I43" s="70">
        <v>7680</v>
      </c>
    </row>
    <row r="44" spans="1:9" ht="26.4">
      <c r="A44" s="69">
        <v>12</v>
      </c>
      <c r="B44" s="79" t="s">
        <v>110</v>
      </c>
      <c r="C44" s="9" t="s">
        <v>112</v>
      </c>
      <c r="D44" s="82" t="s">
        <v>113</v>
      </c>
      <c r="E44" s="69" t="s">
        <v>68</v>
      </c>
      <c r="F44" s="69" t="s">
        <v>88</v>
      </c>
      <c r="G44" s="84" t="s">
        <v>182</v>
      </c>
      <c r="H44" s="69" t="s">
        <v>28</v>
      </c>
      <c r="I44" s="84">
        <v>29000</v>
      </c>
    </row>
    <row r="45" spans="1:9" ht="13.2">
      <c r="A45" s="69">
        <v>13</v>
      </c>
      <c r="B45" s="79" t="s">
        <v>118</v>
      </c>
      <c r="C45" s="7" t="s">
        <v>123</v>
      </c>
      <c r="D45" s="82" t="s">
        <v>124</v>
      </c>
      <c r="E45" s="69" t="s">
        <v>68</v>
      </c>
      <c r="F45" s="69" t="s">
        <v>89</v>
      </c>
      <c r="G45" s="70">
        <v>0</v>
      </c>
      <c r="H45" s="69" t="s">
        <v>28</v>
      </c>
      <c r="I45" s="84">
        <v>0</v>
      </c>
    </row>
    <row r="46" spans="1:9" ht="26.4">
      <c r="A46" s="69">
        <v>14</v>
      </c>
      <c r="B46" s="79" t="s">
        <v>117</v>
      </c>
      <c r="C46" s="9" t="s">
        <v>112</v>
      </c>
      <c r="D46" s="82" t="s">
        <v>125</v>
      </c>
      <c r="E46" s="69" t="s">
        <v>68</v>
      </c>
      <c r="F46" s="69" t="s">
        <v>88</v>
      </c>
      <c r="G46" s="84" t="s">
        <v>181</v>
      </c>
      <c r="H46" s="69" t="s">
        <v>28</v>
      </c>
      <c r="I46" s="84">
        <v>38000</v>
      </c>
    </row>
    <row r="47" spans="1:9" ht="26.4">
      <c r="A47" s="69">
        <v>15</v>
      </c>
      <c r="B47" s="7" t="s">
        <v>152</v>
      </c>
      <c r="C47" s="9" t="s">
        <v>153</v>
      </c>
      <c r="D47" s="82" t="s">
        <v>154</v>
      </c>
      <c r="E47" s="69" t="s">
        <v>68</v>
      </c>
      <c r="F47" s="69" t="s">
        <v>88</v>
      </c>
      <c r="G47" s="84" t="s">
        <v>179</v>
      </c>
      <c r="H47" s="69" t="s">
        <v>28</v>
      </c>
      <c r="I47" s="84">
        <v>36000</v>
      </c>
    </row>
    <row r="48" spans="1:9" ht="66">
      <c r="A48" s="69">
        <v>16</v>
      </c>
      <c r="B48" s="79" t="s">
        <v>114</v>
      </c>
      <c r="C48" s="9" t="s">
        <v>115</v>
      </c>
      <c r="D48" s="82" t="s">
        <v>116</v>
      </c>
      <c r="E48" s="69" t="s">
        <v>68</v>
      </c>
      <c r="F48" s="69" t="s">
        <v>88</v>
      </c>
      <c r="G48" s="70">
        <v>14400</v>
      </c>
      <c r="H48" s="69" t="s">
        <v>28</v>
      </c>
      <c r="I48" s="70">
        <v>14400</v>
      </c>
    </row>
    <row r="49" spans="1:9" ht="66">
      <c r="A49" s="69">
        <v>17</v>
      </c>
      <c r="B49" s="79" t="s">
        <v>120</v>
      </c>
      <c r="C49" s="9" t="s">
        <v>121</v>
      </c>
      <c r="D49" s="82" t="s">
        <v>122</v>
      </c>
      <c r="E49" s="69" t="s">
        <v>68</v>
      </c>
      <c r="F49" s="69" t="s">
        <v>88</v>
      </c>
      <c r="G49" s="70">
        <v>14400</v>
      </c>
      <c r="H49" s="69" t="s">
        <v>28</v>
      </c>
      <c r="I49" s="70">
        <v>14400</v>
      </c>
    </row>
    <row r="50" spans="1:9" ht="26.4">
      <c r="A50" s="69">
        <v>18</v>
      </c>
      <c r="B50" s="79" t="s">
        <v>127</v>
      </c>
      <c r="C50" s="9" t="s">
        <v>128</v>
      </c>
      <c r="D50" s="86" t="s">
        <v>126</v>
      </c>
      <c r="E50" s="69" t="s">
        <v>68</v>
      </c>
      <c r="F50" s="69" t="s">
        <v>88</v>
      </c>
      <c r="G50" s="84">
        <v>19400</v>
      </c>
      <c r="H50" s="69" t="s">
        <v>28</v>
      </c>
      <c r="I50" s="84">
        <v>19400</v>
      </c>
    </row>
    <row r="51" spans="1:9" ht="23.25" customHeight="1">
      <c r="A51" s="115" t="s">
        <v>55</v>
      </c>
      <c r="B51" s="115"/>
      <c r="C51" s="113"/>
      <c r="D51" s="114"/>
      <c r="E51" s="114"/>
      <c r="F51" s="79" t="s">
        <v>258</v>
      </c>
      <c r="G51" s="73">
        <v>1619800</v>
      </c>
      <c r="H51" s="69"/>
      <c r="I51" s="89">
        <v>1109776</v>
      </c>
    </row>
    <row r="52" spans="1:9" ht="15.6">
      <c r="A52" s="115"/>
      <c r="B52" s="115"/>
      <c r="C52" s="114"/>
      <c r="D52" s="114"/>
      <c r="E52" s="114"/>
      <c r="F52" s="59" t="s">
        <v>259</v>
      </c>
      <c r="G52" s="73">
        <v>3777480</v>
      </c>
      <c r="H52" s="53"/>
      <c r="I52" s="89">
        <v>253480</v>
      </c>
    </row>
    <row r="55" spans="1:9" ht="13.2">
      <c r="D55" s="88"/>
    </row>
  </sheetData>
  <mergeCells count="8">
    <mergeCell ref="C8:F8"/>
    <mergeCell ref="A1:I1"/>
    <mergeCell ref="A9:I9"/>
    <mergeCell ref="A31:I31"/>
    <mergeCell ref="C51:E52"/>
    <mergeCell ref="A51:B52"/>
    <mergeCell ref="A29:B30"/>
    <mergeCell ref="C29:E30"/>
  </mergeCells>
  <hyperlinks>
    <hyperlink ref="D3" r:id="rId1" xr:uid="{00000000-0004-0000-0100-000000000000}"/>
    <hyperlink ref="D4" r:id="rId2" xr:uid="{00000000-0004-0000-0100-000001000000}"/>
    <hyperlink ref="D5" r:id="rId3" xr:uid="{00000000-0004-0000-0100-000002000000}"/>
    <hyperlink ref="D6" r:id="rId4" xr:uid="{00000000-0004-0000-0100-000003000000}"/>
    <hyperlink ref="D7" r:id="rId5" xr:uid="{00000000-0004-0000-0100-000004000000}"/>
    <hyperlink ref="D12" r:id="rId6" xr:uid="{00000000-0004-0000-0100-000005000000}"/>
    <hyperlink ref="D13" r:id="rId7" xr:uid="{00000000-0004-0000-0100-000006000000}"/>
    <hyperlink ref="D14" r:id="rId8" xr:uid="{00000000-0004-0000-0100-000007000000}"/>
    <hyperlink ref="D18" r:id="rId9" xr:uid="{00000000-0004-0000-0100-000008000000}"/>
    <hyperlink ref="D19" r:id="rId10" xr:uid="{00000000-0004-0000-0100-000009000000}"/>
    <hyperlink ref="D20" r:id="rId11" xr:uid="{00000000-0004-0000-0100-00000A000000}"/>
    <hyperlink ref="D21" r:id="rId12" xr:uid="{00000000-0004-0000-0100-00000B000000}"/>
    <hyperlink ref="D22" r:id="rId13" xr:uid="{00000000-0004-0000-0100-00000C000000}"/>
    <hyperlink ref="D26" r:id="rId14" xr:uid="{00000000-0004-0000-0100-00000D000000}"/>
    <hyperlink ref="D27" r:id="rId15" xr:uid="{00000000-0004-0000-0100-00000E000000}"/>
    <hyperlink ref="D23" r:id="rId16" xr:uid="{00000000-0004-0000-0100-00000F000000}"/>
    <hyperlink ref="D24" r:id="rId17" xr:uid="{00000000-0004-0000-0100-000010000000}"/>
    <hyperlink ref="D28" r:id="rId18" xr:uid="{00000000-0004-0000-0100-000011000000}"/>
    <hyperlink ref="D25" r:id="rId19" xr:uid="{00000000-0004-0000-0100-000012000000}"/>
    <hyperlink ref="D11" r:id="rId20" xr:uid="{00000000-0004-0000-0100-000013000000}"/>
    <hyperlink ref="D17" r:id="rId21" xr:uid="{00000000-0004-0000-0100-000014000000}"/>
    <hyperlink ref="D15" r:id="rId22" xr:uid="{00000000-0004-0000-0100-000015000000}"/>
    <hyperlink ref="D33" r:id="rId23" xr:uid="{00000000-0004-0000-0100-000016000000}"/>
    <hyperlink ref="D34" r:id="rId24" xr:uid="{00000000-0004-0000-0100-000017000000}"/>
    <hyperlink ref="D35" r:id="rId25" xr:uid="{00000000-0004-0000-0100-000018000000}"/>
    <hyperlink ref="D36" r:id="rId26" xr:uid="{00000000-0004-0000-0100-000019000000}"/>
    <hyperlink ref="D37" r:id="rId27" xr:uid="{00000000-0004-0000-0100-00001A000000}"/>
    <hyperlink ref="D39" r:id="rId28" xr:uid="{00000000-0004-0000-0100-00001B000000}"/>
    <hyperlink ref="D40" r:id="rId29" xr:uid="{00000000-0004-0000-0100-00001C000000}"/>
    <hyperlink ref="D41" r:id="rId30" xr:uid="{00000000-0004-0000-0100-00001D000000}"/>
    <hyperlink ref="D42" r:id="rId31" xr:uid="{00000000-0004-0000-0100-00001E000000}"/>
    <hyperlink ref="D43" r:id="rId32" xr:uid="{00000000-0004-0000-0100-00001F000000}"/>
    <hyperlink ref="D44" r:id="rId33" xr:uid="{00000000-0004-0000-0100-000020000000}"/>
    <hyperlink ref="D45" r:id="rId34" xr:uid="{00000000-0004-0000-0100-000021000000}"/>
    <hyperlink ref="D46" r:id="rId35" xr:uid="{00000000-0004-0000-0100-000022000000}"/>
    <hyperlink ref="D47" r:id="rId36" xr:uid="{00000000-0004-0000-0100-000023000000}"/>
    <hyperlink ref="D48" r:id="rId37" xr:uid="{00000000-0004-0000-0100-000024000000}"/>
    <hyperlink ref="D49" r:id="rId38" xr:uid="{00000000-0004-0000-0100-000025000000}"/>
    <hyperlink ref="D50" r:id="rId39" xr:uid="{00000000-0004-0000-0100-000026000000}"/>
  </hyperlinks>
  <pageMargins left="0.7" right="0.7" top="0.75" bottom="0.75" header="0.3" footer="0.3"/>
  <legacyDrawing r:id="rId4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"/>
  <sheetViews>
    <sheetView tabSelected="1" topLeftCell="C3" workbookViewId="0">
      <selection sqref="A1:G1"/>
    </sheetView>
  </sheetViews>
  <sheetFormatPr defaultColWidth="13.44140625" defaultRowHeight="14.25" customHeight="1"/>
  <cols>
    <col min="1" max="1" width="4.21875" customWidth="1"/>
    <col min="2" max="2" width="49.77734375" customWidth="1"/>
    <col min="3" max="3" width="21.44140625" style="3" customWidth="1"/>
    <col min="4" max="5" width="39.6640625" style="3" customWidth="1"/>
    <col min="6" max="6" width="43.33203125" customWidth="1"/>
    <col min="7" max="7" width="33.6640625" customWidth="1"/>
  </cols>
  <sheetData>
    <row r="1" spans="1:7" ht="112.5" customHeight="1">
      <c r="A1" s="116" t="s">
        <v>87</v>
      </c>
      <c r="B1" s="117"/>
      <c r="C1" s="117"/>
      <c r="D1" s="117"/>
      <c r="E1" s="117"/>
      <c r="F1" s="117"/>
      <c r="G1" s="117"/>
    </row>
    <row r="2" spans="1:7" ht="26.4">
      <c r="A2" s="1" t="s">
        <v>18</v>
      </c>
      <c r="B2" s="1" t="s">
        <v>59</v>
      </c>
      <c r="C2" s="4" t="s">
        <v>135</v>
      </c>
      <c r="D2" s="4" t="s">
        <v>62</v>
      </c>
      <c r="E2" s="4" t="s">
        <v>23</v>
      </c>
      <c r="F2" s="1" t="s">
        <v>75</v>
      </c>
      <c r="G2" s="1" t="s">
        <v>60</v>
      </c>
    </row>
    <row r="3" spans="1:7" ht="237.6">
      <c r="A3" s="1">
        <v>1</v>
      </c>
      <c r="B3" s="1" t="s">
        <v>61</v>
      </c>
      <c r="C3" s="4" t="s">
        <v>137</v>
      </c>
      <c r="D3" s="4" t="s">
        <v>63</v>
      </c>
      <c r="E3" s="4" t="s">
        <v>119</v>
      </c>
      <c r="F3" s="58">
        <v>148500</v>
      </c>
      <c r="G3" s="53" t="s">
        <v>91</v>
      </c>
    </row>
    <row r="4" spans="1:7" ht="92.4">
      <c r="A4" s="1">
        <v>2</v>
      </c>
      <c r="B4" s="1" t="s">
        <v>65</v>
      </c>
      <c r="C4" s="4" t="s">
        <v>137</v>
      </c>
      <c r="D4" s="4" t="s">
        <v>90</v>
      </c>
      <c r="E4" s="4" t="s">
        <v>64</v>
      </c>
      <c r="F4" s="58">
        <v>198000</v>
      </c>
      <c r="G4" s="53" t="s">
        <v>92</v>
      </c>
    </row>
    <row r="5" spans="1:7" ht="382.8">
      <c r="A5" s="1">
        <v>3</v>
      </c>
      <c r="B5" s="1" t="s">
        <v>56</v>
      </c>
      <c r="C5" s="5" t="s">
        <v>137</v>
      </c>
      <c r="D5" s="5" t="s">
        <v>130</v>
      </c>
      <c r="E5" s="4" t="s">
        <v>111</v>
      </c>
      <c r="F5" s="59" t="s">
        <v>129</v>
      </c>
      <c r="G5" s="53" t="s">
        <v>95</v>
      </c>
    </row>
    <row r="6" spans="1:7" ht="66">
      <c r="A6" s="1">
        <v>4</v>
      </c>
      <c r="B6" s="1" t="s">
        <v>57</v>
      </c>
      <c r="C6" s="4" t="s">
        <v>138</v>
      </c>
      <c r="D6" s="4" t="s">
        <v>67</v>
      </c>
      <c r="E6" s="4" t="s">
        <v>69</v>
      </c>
      <c r="F6" s="58">
        <v>99000</v>
      </c>
      <c r="G6" s="53" t="s">
        <v>97</v>
      </c>
    </row>
    <row r="7" spans="1:7" ht="409.6">
      <c r="A7" s="1">
        <v>5</v>
      </c>
      <c r="B7" s="1" t="s">
        <v>99</v>
      </c>
      <c r="C7" s="4" t="s">
        <v>139</v>
      </c>
      <c r="D7" s="4" t="s">
        <v>72</v>
      </c>
      <c r="E7" s="4" t="s">
        <v>102</v>
      </c>
      <c r="F7" s="58" t="s">
        <v>142</v>
      </c>
      <c r="G7" s="53" t="s">
        <v>104</v>
      </c>
    </row>
    <row r="8" spans="1:7" ht="409.6">
      <c r="A8" s="1">
        <v>6</v>
      </c>
      <c r="B8" s="60" t="s">
        <v>98</v>
      </c>
      <c r="C8" s="4" t="s">
        <v>140</v>
      </c>
      <c r="D8" s="4" t="s">
        <v>132</v>
      </c>
      <c r="E8" s="4" t="s">
        <v>131</v>
      </c>
      <c r="F8" s="53" t="s">
        <v>133</v>
      </c>
      <c r="G8" s="53" t="s">
        <v>109</v>
      </c>
    </row>
    <row r="9" spans="1:7" ht="79.2">
      <c r="A9" s="1">
        <v>6</v>
      </c>
      <c r="B9" s="1" t="s">
        <v>58</v>
      </c>
      <c r="C9" s="4" t="s">
        <v>138</v>
      </c>
      <c r="D9" s="4" t="s">
        <v>74</v>
      </c>
      <c r="E9" s="4" t="s">
        <v>73</v>
      </c>
      <c r="F9" s="61" t="s">
        <v>226</v>
      </c>
      <c r="G9" s="6" t="s">
        <v>227</v>
      </c>
    </row>
  </sheetData>
  <mergeCells count="1">
    <mergeCell ref="A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"/>
  <sheetViews>
    <sheetView workbookViewId="0"/>
  </sheetViews>
  <sheetFormatPr defaultColWidth="13.44140625" defaultRowHeight="14.25" customHeight="1"/>
  <cols>
    <col min="1" max="1" width="3" customWidth="1"/>
    <col min="2" max="2" width="50.5546875" style="3" customWidth="1"/>
    <col min="3" max="3" width="22.77734375" customWidth="1"/>
    <col min="4" max="4" width="17.77734375" customWidth="1"/>
    <col min="5" max="5" width="20" customWidth="1"/>
    <col min="6" max="6" width="15" customWidth="1"/>
    <col min="7" max="7" width="19.44140625" customWidth="1"/>
    <col min="8" max="8" width="28.33203125" customWidth="1"/>
    <col min="9" max="9" width="22.5546875" customWidth="1"/>
    <col min="10" max="10" width="45.44140625" customWidth="1"/>
    <col min="11" max="11" width="12.21875" customWidth="1"/>
  </cols>
  <sheetData>
    <row r="1" spans="1:11" ht="13.2">
      <c r="A1" s="51" t="s">
        <v>18</v>
      </c>
      <c r="B1" s="52" t="s">
        <v>144</v>
      </c>
      <c r="C1" s="51" t="s">
        <v>159</v>
      </c>
      <c r="D1" s="51" t="s">
        <v>145</v>
      </c>
      <c r="E1" s="51" t="s">
        <v>146</v>
      </c>
      <c r="F1" s="51" t="s">
        <v>147</v>
      </c>
      <c r="G1" s="51" t="s">
        <v>148</v>
      </c>
      <c r="H1" s="51" t="s">
        <v>161</v>
      </c>
      <c r="I1" s="51" t="s">
        <v>149</v>
      </c>
      <c r="J1" s="51" t="s">
        <v>150</v>
      </c>
      <c r="K1" s="51" t="s">
        <v>151</v>
      </c>
    </row>
    <row r="2" spans="1:11" ht="39.6">
      <c r="A2" s="53">
        <v>1</v>
      </c>
      <c r="B2" s="5" t="s">
        <v>40</v>
      </c>
      <c r="C2" s="5" t="s">
        <v>158</v>
      </c>
      <c r="D2" s="54">
        <v>100000</v>
      </c>
      <c r="E2" s="54">
        <v>300000</v>
      </c>
      <c r="F2" s="53" t="s">
        <v>165</v>
      </c>
      <c r="G2" s="5" t="s">
        <v>164</v>
      </c>
      <c r="H2" s="54">
        <v>19800</v>
      </c>
      <c r="I2" s="53" t="s">
        <v>88</v>
      </c>
      <c r="J2" s="5" t="s">
        <v>160</v>
      </c>
      <c r="K2" s="5" t="s">
        <v>163</v>
      </c>
    </row>
    <row r="3" spans="1:11" ht="118.8">
      <c r="A3" s="53">
        <v>2</v>
      </c>
      <c r="B3" s="5" t="s">
        <v>51</v>
      </c>
      <c r="C3" s="53"/>
      <c r="D3" s="54">
        <v>150000</v>
      </c>
      <c r="E3" s="54">
        <v>350000</v>
      </c>
      <c r="F3" s="53" t="s">
        <v>165</v>
      </c>
      <c r="G3" s="5" t="s">
        <v>168</v>
      </c>
      <c r="H3" s="54">
        <v>27900</v>
      </c>
      <c r="I3" s="53" t="s">
        <v>88</v>
      </c>
      <c r="J3" s="5" t="s">
        <v>170</v>
      </c>
      <c r="K3" s="53"/>
    </row>
    <row r="4" spans="1:11" ht="39.6">
      <c r="A4" s="53">
        <v>3</v>
      </c>
      <c r="B4" s="5" t="s">
        <v>52</v>
      </c>
      <c r="C4" s="53"/>
      <c r="D4" s="54">
        <v>150000</v>
      </c>
      <c r="E4" s="54">
        <v>300000</v>
      </c>
      <c r="F4" s="53" t="s">
        <v>167</v>
      </c>
      <c r="G4" s="53"/>
      <c r="H4" s="54"/>
      <c r="I4" s="5"/>
      <c r="J4" s="5"/>
      <c r="K4" s="53"/>
    </row>
    <row r="5" spans="1:11" ht="26.4">
      <c r="A5" s="53">
        <v>4</v>
      </c>
      <c r="B5" s="5" t="s">
        <v>53</v>
      </c>
      <c r="C5" s="53"/>
      <c r="D5" s="54">
        <v>100000</v>
      </c>
      <c r="E5" s="54">
        <v>150000</v>
      </c>
      <c r="F5" s="53" t="s">
        <v>176</v>
      </c>
      <c r="G5" s="53" t="s">
        <v>250</v>
      </c>
      <c r="H5" s="64" t="s">
        <v>254</v>
      </c>
      <c r="I5" s="53" t="s">
        <v>88</v>
      </c>
      <c r="J5" s="5" t="s">
        <v>251</v>
      </c>
      <c r="K5" s="53"/>
    </row>
    <row r="6" spans="1:11" ht="13.2">
      <c r="A6" s="53">
        <v>5</v>
      </c>
      <c r="B6" s="5" t="s">
        <v>54</v>
      </c>
      <c r="C6" s="53"/>
      <c r="D6" s="54">
        <v>100000</v>
      </c>
      <c r="E6" s="54">
        <v>300000</v>
      </c>
      <c r="F6" s="53" t="s">
        <v>177</v>
      </c>
      <c r="G6" s="53"/>
      <c r="H6" s="53"/>
      <c r="I6" s="53"/>
      <c r="J6" s="53"/>
      <c r="K6" s="5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workbookViewId="0"/>
  </sheetViews>
  <sheetFormatPr defaultColWidth="13.44140625" defaultRowHeight="14.25" customHeight="1"/>
  <cols>
    <col min="1" max="1" width="3" customWidth="1"/>
    <col min="2" max="2" width="36.109375" customWidth="1"/>
    <col min="3" max="3" width="22" customWidth="1"/>
    <col min="4" max="4" width="80.88671875" customWidth="1"/>
    <col min="5" max="5" width="73.77734375" style="3" customWidth="1"/>
    <col min="6" max="6" width="38.44140625" customWidth="1"/>
    <col min="7" max="7" width="17.109375" customWidth="1"/>
  </cols>
  <sheetData>
    <row r="1" spans="1:7" ht="38.25" customHeight="1">
      <c r="A1" s="118" t="s">
        <v>180</v>
      </c>
      <c r="B1" s="118"/>
      <c r="C1" s="118"/>
    </row>
    <row r="2" spans="1:7" ht="13.2">
      <c r="A2" s="49" t="s">
        <v>18</v>
      </c>
      <c r="B2" s="49" t="s">
        <v>184</v>
      </c>
      <c r="C2" s="49" t="s">
        <v>135</v>
      </c>
      <c r="D2" s="49" t="s">
        <v>62</v>
      </c>
      <c r="E2" s="50" t="s">
        <v>23</v>
      </c>
      <c r="F2" s="49" t="s">
        <v>185</v>
      </c>
      <c r="G2" s="49" t="s">
        <v>60</v>
      </c>
    </row>
    <row r="3" spans="1:7" ht="52.8">
      <c r="A3" s="55">
        <v>1</v>
      </c>
      <c r="B3" s="55" t="s">
        <v>61</v>
      </c>
      <c r="C3" s="55" t="s">
        <v>137</v>
      </c>
      <c r="D3" s="55" t="s">
        <v>186</v>
      </c>
      <c r="E3" s="56" t="s">
        <v>223</v>
      </c>
      <c r="F3" s="57">
        <v>60000</v>
      </c>
      <c r="G3" s="55" t="s">
        <v>220</v>
      </c>
    </row>
    <row r="4" spans="1:7" ht="52.8">
      <c r="A4" s="55">
        <v>2</v>
      </c>
      <c r="B4" s="55" t="s">
        <v>65</v>
      </c>
      <c r="C4" s="55" t="s">
        <v>137</v>
      </c>
      <c r="D4" s="55" t="s">
        <v>187</v>
      </c>
      <c r="E4" s="56" t="s">
        <v>188</v>
      </c>
      <c r="F4" s="57">
        <v>80000</v>
      </c>
      <c r="G4" s="55" t="s">
        <v>221</v>
      </c>
    </row>
    <row r="5" spans="1:7" ht="39.6">
      <c r="A5" s="55">
        <v>3</v>
      </c>
      <c r="B5" s="55" t="s">
        <v>189</v>
      </c>
      <c r="C5" s="55" t="s">
        <v>137</v>
      </c>
      <c r="D5" s="55" t="s">
        <v>190</v>
      </c>
      <c r="E5" s="56" t="s">
        <v>191</v>
      </c>
      <c r="F5" s="57">
        <v>120000</v>
      </c>
      <c r="G5" s="55" t="s">
        <v>222</v>
      </c>
    </row>
    <row r="6" spans="1:7" ht="39.6">
      <c r="A6" s="55">
        <v>4</v>
      </c>
      <c r="B6" s="55" t="s">
        <v>192</v>
      </c>
      <c r="C6" s="55" t="s">
        <v>137</v>
      </c>
      <c r="D6" s="55" t="s">
        <v>193</v>
      </c>
      <c r="E6" s="56" t="s">
        <v>194</v>
      </c>
      <c r="F6" s="57">
        <v>180000</v>
      </c>
      <c r="G6" s="55" t="s">
        <v>229</v>
      </c>
    </row>
    <row r="7" spans="1:7" ht="39.6">
      <c r="A7" s="55">
        <v>5</v>
      </c>
      <c r="B7" s="55" t="s">
        <v>195</v>
      </c>
      <c r="C7" s="55" t="s">
        <v>138</v>
      </c>
      <c r="D7" s="55" t="s">
        <v>196</v>
      </c>
      <c r="E7" s="56" t="s">
        <v>197</v>
      </c>
      <c r="F7" s="57">
        <v>50000</v>
      </c>
      <c r="G7" s="55" t="s">
        <v>220</v>
      </c>
    </row>
    <row r="8" spans="1:7" ht="39.6">
      <c r="A8" s="55">
        <v>6</v>
      </c>
      <c r="B8" s="55" t="s">
        <v>198</v>
      </c>
      <c r="C8" s="55" t="s">
        <v>138</v>
      </c>
      <c r="D8" s="55" t="s">
        <v>199</v>
      </c>
      <c r="E8" s="56" t="s">
        <v>200</v>
      </c>
      <c r="F8" s="57">
        <v>45000</v>
      </c>
      <c r="G8" s="55" t="s">
        <v>231</v>
      </c>
    </row>
    <row r="9" spans="1:7" ht="39.6">
      <c r="A9" s="55">
        <v>7</v>
      </c>
      <c r="B9" s="55" t="s">
        <v>58</v>
      </c>
      <c r="C9" s="55" t="s">
        <v>138</v>
      </c>
      <c r="D9" s="55" t="s">
        <v>201</v>
      </c>
      <c r="E9" s="56" t="s">
        <v>202</v>
      </c>
      <c r="F9" s="57" t="s">
        <v>225</v>
      </c>
      <c r="G9" s="55" t="s">
        <v>224</v>
      </c>
    </row>
    <row r="11" spans="1:7" ht="38.25" customHeight="1">
      <c r="A11" s="118" t="s">
        <v>203</v>
      </c>
      <c r="B11" s="118"/>
      <c r="C11" s="118"/>
    </row>
    <row r="12" spans="1:7" ht="13.2">
      <c r="A12" s="49" t="s">
        <v>18</v>
      </c>
      <c r="B12" s="49" t="s">
        <v>184</v>
      </c>
      <c r="C12" s="49" t="s">
        <v>135</v>
      </c>
      <c r="D12" s="49" t="s">
        <v>62</v>
      </c>
      <c r="E12" s="50" t="s">
        <v>23</v>
      </c>
      <c r="F12" s="49" t="s">
        <v>185</v>
      </c>
      <c r="G12" s="49" t="s">
        <v>60</v>
      </c>
    </row>
    <row r="13" spans="1:7" ht="39.6">
      <c r="A13" s="55">
        <v>1</v>
      </c>
      <c r="B13" s="55" t="s">
        <v>61</v>
      </c>
      <c r="C13" s="55" t="s">
        <v>137</v>
      </c>
      <c r="D13" s="55" t="s">
        <v>204</v>
      </c>
      <c r="E13" s="56" t="s">
        <v>205</v>
      </c>
      <c r="F13" s="57">
        <v>80000</v>
      </c>
      <c r="G13" s="55" t="s">
        <v>221</v>
      </c>
    </row>
    <row r="14" spans="1:7" ht="39.6">
      <c r="A14" s="55">
        <v>2</v>
      </c>
      <c r="B14" s="55" t="s">
        <v>65</v>
      </c>
      <c r="C14" s="55" t="s">
        <v>137</v>
      </c>
      <c r="D14" s="55" t="s">
        <v>206</v>
      </c>
      <c r="E14" s="56" t="s">
        <v>207</v>
      </c>
      <c r="F14" s="57">
        <v>120000</v>
      </c>
      <c r="G14" s="55" t="s">
        <v>222</v>
      </c>
    </row>
    <row r="15" spans="1:7" ht="39.6">
      <c r="A15" s="55">
        <v>3</v>
      </c>
      <c r="B15" s="55" t="s">
        <v>208</v>
      </c>
      <c r="C15" s="55" t="s">
        <v>137</v>
      </c>
      <c r="D15" s="55" t="s">
        <v>209</v>
      </c>
      <c r="E15" s="56" t="s">
        <v>210</v>
      </c>
      <c r="F15" s="57">
        <v>220000</v>
      </c>
      <c r="G15" s="55" t="s">
        <v>229</v>
      </c>
    </row>
    <row r="16" spans="1:7" ht="39.6">
      <c r="A16" s="55">
        <v>4</v>
      </c>
      <c r="B16" s="55" t="s">
        <v>192</v>
      </c>
      <c r="C16" s="55" t="s">
        <v>137</v>
      </c>
      <c r="D16" s="55" t="s">
        <v>211</v>
      </c>
      <c r="E16" s="56" t="s">
        <v>212</v>
      </c>
      <c r="F16" s="57">
        <v>250000</v>
      </c>
      <c r="G16" s="55" t="s">
        <v>229</v>
      </c>
    </row>
    <row r="17" spans="1:7" ht="39.6">
      <c r="A17" s="55">
        <v>5</v>
      </c>
      <c r="B17" s="55" t="s">
        <v>195</v>
      </c>
      <c r="C17" s="55" t="s">
        <v>138</v>
      </c>
      <c r="D17" s="55" t="s">
        <v>213</v>
      </c>
      <c r="E17" s="56" t="s">
        <v>214</v>
      </c>
      <c r="F17" s="57">
        <v>70000</v>
      </c>
      <c r="G17" s="55" t="s">
        <v>221</v>
      </c>
    </row>
    <row r="18" spans="1:7" ht="39.6">
      <c r="A18" s="55">
        <v>6</v>
      </c>
      <c r="B18" s="55" t="s">
        <v>198</v>
      </c>
      <c r="C18" s="55" t="s">
        <v>138</v>
      </c>
      <c r="D18" s="55" t="s">
        <v>215</v>
      </c>
      <c r="E18" s="56" t="s">
        <v>216</v>
      </c>
      <c r="F18" s="57">
        <v>45000</v>
      </c>
      <c r="G18" s="55" t="s">
        <v>230</v>
      </c>
    </row>
    <row r="19" spans="1:7" ht="39.6">
      <c r="A19" s="55">
        <v>7</v>
      </c>
      <c r="B19" s="55" t="s">
        <v>58</v>
      </c>
      <c r="C19" s="55" t="s">
        <v>138</v>
      </c>
      <c r="D19" s="55" t="s">
        <v>217</v>
      </c>
      <c r="E19" s="56" t="s">
        <v>218</v>
      </c>
      <c r="F19" s="57" t="s">
        <v>225</v>
      </c>
      <c r="G19" s="55" t="s">
        <v>224</v>
      </c>
    </row>
  </sheetData>
  <mergeCells count="2">
    <mergeCell ref="A1:C1"/>
    <mergeCell ref="A11:C1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"/>
  <sheetViews>
    <sheetView workbookViewId="0"/>
  </sheetViews>
  <sheetFormatPr defaultColWidth="13.44140625" defaultRowHeight="14.25" customHeight="1"/>
  <cols>
    <col min="1" max="1" width="3" customWidth="1"/>
    <col min="2" max="2" width="29.5546875" customWidth="1"/>
    <col min="3" max="3" width="22.88671875" customWidth="1"/>
    <col min="4" max="4" width="85.88671875" customWidth="1"/>
    <col min="5" max="5" width="59.21875" style="3" customWidth="1"/>
    <col min="6" max="6" width="38.44140625" customWidth="1"/>
    <col min="7" max="7" width="17.109375" customWidth="1"/>
  </cols>
  <sheetData>
    <row r="1" spans="1:7" ht="13.2">
      <c r="A1" s="62" t="s">
        <v>18</v>
      </c>
      <c r="B1" s="62" t="s">
        <v>184</v>
      </c>
      <c r="C1" s="62" t="s">
        <v>135</v>
      </c>
      <c r="D1" s="62" t="s">
        <v>62</v>
      </c>
      <c r="E1" s="63" t="s">
        <v>23</v>
      </c>
      <c r="F1" s="62" t="s">
        <v>185</v>
      </c>
      <c r="G1" s="62" t="s">
        <v>60</v>
      </c>
    </row>
    <row r="2" spans="1:7" ht="79.2">
      <c r="A2" s="55">
        <v>1</v>
      </c>
      <c r="B2" s="55" t="s">
        <v>61</v>
      </c>
      <c r="C2" s="55" t="s">
        <v>137</v>
      </c>
      <c r="D2" s="55" t="s">
        <v>233</v>
      </c>
      <c r="E2" s="56" t="s">
        <v>234</v>
      </c>
      <c r="F2" s="57">
        <v>250000</v>
      </c>
      <c r="G2" s="55" t="s">
        <v>221</v>
      </c>
    </row>
    <row r="3" spans="1:7" ht="66">
      <c r="A3" s="55">
        <v>2</v>
      </c>
      <c r="B3" s="55" t="s">
        <v>65</v>
      </c>
      <c r="C3" s="55" t="s">
        <v>137</v>
      </c>
      <c r="D3" s="55" t="s">
        <v>235</v>
      </c>
      <c r="E3" s="56" t="s">
        <v>236</v>
      </c>
      <c r="F3" s="57">
        <v>350000</v>
      </c>
      <c r="G3" s="55" t="s">
        <v>222</v>
      </c>
    </row>
    <row r="4" spans="1:7" ht="66">
      <c r="A4" s="55">
        <v>3</v>
      </c>
      <c r="B4" s="55" t="s">
        <v>237</v>
      </c>
      <c r="C4" s="55" t="s">
        <v>137</v>
      </c>
      <c r="D4" s="55" t="s">
        <v>238</v>
      </c>
      <c r="E4" s="56" t="s">
        <v>239</v>
      </c>
      <c r="F4" s="57">
        <v>550000</v>
      </c>
      <c r="G4" s="55" t="s">
        <v>229</v>
      </c>
    </row>
    <row r="5" spans="1:7" ht="66">
      <c r="A5" s="55">
        <v>4</v>
      </c>
      <c r="B5" s="55" t="s">
        <v>240</v>
      </c>
      <c r="C5" s="55" t="s">
        <v>137</v>
      </c>
      <c r="D5" s="55" t="s">
        <v>241</v>
      </c>
      <c r="E5" s="56" t="s">
        <v>242</v>
      </c>
      <c r="F5" s="57">
        <v>650000</v>
      </c>
      <c r="G5" s="55" t="s">
        <v>229</v>
      </c>
    </row>
    <row r="6" spans="1:7" ht="66">
      <c r="A6" s="55">
        <v>5</v>
      </c>
      <c r="B6" s="55" t="s">
        <v>243</v>
      </c>
      <c r="C6" s="55" t="s">
        <v>137</v>
      </c>
      <c r="D6" s="55" t="s">
        <v>244</v>
      </c>
      <c r="E6" s="56" t="s">
        <v>245</v>
      </c>
      <c r="F6" s="57">
        <v>400000</v>
      </c>
      <c r="G6" s="55" t="s">
        <v>222</v>
      </c>
    </row>
    <row r="7" spans="1:7" ht="66">
      <c r="A7" s="55">
        <v>6</v>
      </c>
      <c r="B7" s="55" t="s">
        <v>195</v>
      </c>
      <c r="C7" s="55" t="s">
        <v>138</v>
      </c>
      <c r="D7" s="55" t="s">
        <v>246</v>
      </c>
      <c r="E7" s="56" t="s">
        <v>247</v>
      </c>
      <c r="F7" s="57">
        <v>150000</v>
      </c>
      <c r="G7" s="55" t="s">
        <v>220</v>
      </c>
    </row>
    <row r="8" spans="1:7" ht="52.8">
      <c r="A8" s="55">
        <v>7</v>
      </c>
      <c r="B8" s="55" t="s">
        <v>58</v>
      </c>
      <c r="C8" s="55" t="s">
        <v>138</v>
      </c>
      <c r="D8" s="55" t="s">
        <v>248</v>
      </c>
      <c r="E8" s="56" t="s">
        <v>249</v>
      </c>
      <c r="F8" s="57" t="s">
        <v>225</v>
      </c>
      <c r="G8" s="55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Лицензии amoCRM</vt:lpstr>
      <vt:lpstr>Лицензии виджеты</vt:lpstr>
      <vt:lpstr>Настройка amoCRM</vt:lpstr>
      <vt:lpstr>Разработка решений</vt:lpstr>
      <vt:lpstr>Настройка Аналитики Datalens</vt:lpstr>
      <vt:lpstr>Геоаналитика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Anastasia Klimenko</dc:creator>
  <cp:lastModifiedBy>Anastasia Klimenko</cp:lastModifiedBy>
  <dcterms:created xsi:type="dcterms:W3CDTF">2024-11-07T07:51:35Z</dcterms:created>
  <dcterms:modified xsi:type="dcterms:W3CDTF">2026-06-24T13:55:21Z</dcterms:modified>
</cp:coreProperties>
</file>